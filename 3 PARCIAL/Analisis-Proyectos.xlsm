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drawings/drawing3.xml" ContentType="application/vnd.openxmlformats-officedocument.drawing+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drawings/drawing4.xml" ContentType="application/vnd.openxmlformats-officedocument.drawing+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drawings/drawing5.xml" ContentType="application/vnd.openxmlformats-officedocument.drawing+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6.xml" ContentType="application/vnd.openxmlformats-officedocument.drawing+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drawings/drawing7.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drawings/drawing8.xml" ContentType="application/vnd.openxmlformats-officedocument.drawing+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drawings/drawing9.xml" ContentType="application/vnd.openxmlformats-officedocument.drawing+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drawings/drawing10.xml" ContentType="application/vnd.openxmlformats-officedocument.drawing+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drawings/drawing11.xml" ContentType="application/vnd.openxmlformats-officedocument.drawing+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drawings/drawing12.xml" ContentType="application/vnd.openxmlformats-officedocument.drawing+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C:\Users\Luis\Downloads\Luis\financieras\"/>
    </mc:Choice>
  </mc:AlternateContent>
  <bookViews>
    <workbookView xWindow="0" yWindow="0" windowWidth="20490" windowHeight="7665" tabRatio="703" firstSheet="4" activeTab="4"/>
  </bookViews>
  <sheets>
    <sheet name="Portada" sheetId="13" r:id="rId1"/>
    <sheet name="MARCO TEORICO" sheetId="20" r:id="rId2"/>
    <sheet name="OBJETIVO" sheetId="21" r:id="rId3"/>
    <sheet name="Datos" sheetId="17" r:id="rId4"/>
    <sheet name="Estado de Resultados" sheetId="3" r:id="rId5"/>
    <sheet name="Costos de Produccion" sheetId="4" r:id="rId6"/>
    <sheet name="Depreciacion" sheetId="5" r:id="rId7"/>
    <sheet name="Gastos A y V" sheetId="6" r:id="rId8"/>
    <sheet name="Flujos" sheetId="2" r:id="rId9"/>
    <sheet name="Metodos" sheetId="8" r:id="rId10"/>
    <sheet name="Balance General" sheetId="19" r:id="rId11"/>
    <sheet name="Resultados" sheetId="18" r:id="rId12"/>
  </sheet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N13" i="19" l="1"/>
  <c r="AN12" i="19"/>
  <c r="AN11" i="19"/>
  <c r="AN10" i="19"/>
  <c r="AN14" i="19" s="1"/>
  <c r="AN9" i="19"/>
  <c r="AR6" i="19"/>
  <c r="AE13" i="19"/>
  <c r="AE12" i="19"/>
  <c r="AE11" i="19"/>
  <c r="AE10" i="19"/>
  <c r="AE9" i="19"/>
  <c r="AI6" i="19"/>
  <c r="AN33" i="19"/>
  <c r="AN32" i="19"/>
  <c r="AN31" i="19"/>
  <c r="AN30" i="19"/>
  <c r="AN34" i="19" s="1"/>
  <c r="AN29" i="19"/>
  <c r="AR26" i="19"/>
  <c r="AE33" i="19"/>
  <c r="AE32" i="19"/>
  <c r="AE31" i="19"/>
  <c r="AE30" i="19"/>
  <c r="AE29" i="19"/>
  <c r="AI26" i="19"/>
  <c r="V33" i="19"/>
  <c r="V32" i="19"/>
  <c r="V31" i="19"/>
  <c r="V30" i="19"/>
  <c r="V29" i="19"/>
  <c r="Z26" i="19"/>
  <c r="M33" i="19"/>
  <c r="M32" i="19"/>
  <c r="M31" i="19"/>
  <c r="M30" i="19"/>
  <c r="M29" i="19"/>
  <c r="Q29" i="19" s="1"/>
  <c r="Q26" i="19"/>
  <c r="D33" i="19"/>
  <c r="D32" i="19"/>
  <c r="D31" i="19"/>
  <c r="D30" i="19"/>
  <c r="D29" i="19"/>
  <c r="H26" i="19"/>
  <c r="V13" i="19"/>
  <c r="V12" i="19"/>
  <c r="V11" i="19"/>
  <c r="V10" i="19"/>
  <c r="V9" i="19"/>
  <c r="Z6" i="19"/>
  <c r="M13" i="19"/>
  <c r="M12" i="19"/>
  <c r="M11" i="19"/>
  <c r="M10" i="19"/>
  <c r="M9" i="19"/>
  <c r="Q6" i="19"/>
  <c r="D13" i="19"/>
  <c r="D12" i="19"/>
  <c r="D11" i="19"/>
  <c r="D10" i="19"/>
  <c r="D9" i="19"/>
  <c r="H6" i="19"/>
  <c r="V14" i="19" l="1"/>
  <c r="AI29" i="19"/>
  <c r="M34" i="19"/>
  <c r="D34" i="19"/>
  <c r="AE34" i="19"/>
  <c r="AE14" i="19"/>
  <c r="Z29" i="19"/>
  <c r="AR29" i="19"/>
  <c r="Z9" i="19"/>
  <c r="H29" i="19"/>
  <c r="V34" i="19"/>
  <c r="AI9" i="19"/>
  <c r="Q9" i="19"/>
  <c r="M14" i="19"/>
  <c r="AR9" i="19"/>
  <c r="H9" i="19"/>
  <c r="D14" i="19"/>
  <c r="O28" i="8" l="1"/>
  <c r="S83" i="8" l="1"/>
  <c r="S85" i="8"/>
  <c r="C9" i="2" l="1"/>
  <c r="C8" i="2"/>
  <c r="C7" i="2"/>
  <c r="C6" i="2"/>
  <c r="E5" i="5"/>
  <c r="E10" i="5"/>
  <c r="D14" i="4"/>
  <c r="E14" i="4" s="1"/>
  <c r="D13" i="4"/>
  <c r="E13" i="4" s="1"/>
  <c r="F13" i="4" s="1"/>
  <c r="G13" i="4" s="1"/>
  <c r="H13" i="4" s="1"/>
  <c r="I13" i="4" s="1"/>
  <c r="J13" i="4" s="1"/>
  <c r="K13" i="4" s="1"/>
  <c r="L13" i="4" s="1"/>
  <c r="M13" i="4" s="1"/>
  <c r="D12" i="4"/>
  <c r="E12" i="4" s="1"/>
  <c r="F12" i="4" s="1"/>
  <c r="G12" i="4" s="1"/>
  <c r="H12" i="4" s="1"/>
  <c r="I12" i="4" s="1"/>
  <c r="J12" i="4" s="1"/>
  <c r="K12" i="4" s="1"/>
  <c r="L12" i="4" s="1"/>
  <c r="M12" i="4" s="1"/>
  <c r="D11" i="4"/>
  <c r="E11" i="4" s="1"/>
  <c r="F11" i="4" s="1"/>
  <c r="G11" i="4" s="1"/>
  <c r="H11" i="4" s="1"/>
  <c r="I11" i="4" s="1"/>
  <c r="J11" i="4" s="1"/>
  <c r="K11" i="4" s="1"/>
  <c r="L11" i="4" s="1"/>
  <c r="M11" i="4" s="1"/>
  <c r="D10" i="4"/>
  <c r="E10" i="4" s="1"/>
  <c r="F10" i="4" s="1"/>
  <c r="G10" i="4" s="1"/>
  <c r="H10" i="4" s="1"/>
  <c r="I10" i="4" s="1"/>
  <c r="J10" i="4" s="1"/>
  <c r="K10" i="4" s="1"/>
  <c r="L10" i="4" s="1"/>
  <c r="M10" i="4" s="1"/>
  <c r="D8" i="3"/>
  <c r="E8" i="3" s="1"/>
  <c r="F8" i="3" s="1"/>
  <c r="G8" i="3" s="1"/>
  <c r="H8" i="3" s="1"/>
  <c r="I8" i="3" s="1"/>
  <c r="J8" i="3" s="1"/>
  <c r="K8" i="3" s="1"/>
  <c r="L8" i="3" s="1"/>
  <c r="M8" i="3" s="1"/>
  <c r="D7" i="3"/>
  <c r="E7" i="3" s="1"/>
  <c r="F7" i="3" s="1"/>
  <c r="G7" i="3" s="1"/>
  <c r="H7" i="3" s="1"/>
  <c r="I7" i="3" s="1"/>
  <c r="J7" i="3" l="1"/>
  <c r="I14" i="3"/>
  <c r="E27" i="4"/>
  <c r="F14" i="4"/>
  <c r="C8" i="6"/>
  <c r="D8" i="6" s="1"/>
  <c r="E8" i="6" s="1"/>
  <c r="F8" i="6" s="1"/>
  <c r="G8" i="6" s="1"/>
  <c r="H8" i="6" s="1"/>
  <c r="I8" i="6" s="1"/>
  <c r="J8" i="6" s="1"/>
  <c r="K8" i="6" s="1"/>
  <c r="L8" i="6" s="1"/>
  <c r="D37" i="2"/>
  <c r="E37" i="2"/>
  <c r="F37" i="2"/>
  <c r="G37" i="2"/>
  <c r="H37" i="2"/>
  <c r="I37" i="2"/>
  <c r="J37" i="2"/>
  <c r="K37" i="2"/>
  <c r="L37" i="2"/>
  <c r="C37" i="2"/>
  <c r="D34" i="2"/>
  <c r="E34" i="2"/>
  <c r="F34" i="2"/>
  <c r="G34" i="2"/>
  <c r="C34" i="2"/>
  <c r="K7" i="3" l="1"/>
  <c r="J14" i="3"/>
  <c r="G14" i="4"/>
  <c r="F27" i="4"/>
  <c r="C17" i="6"/>
  <c r="D17" i="6" s="1"/>
  <c r="E17" i="6" s="1"/>
  <c r="M16" i="3"/>
  <c r="L35" i="2" s="1"/>
  <c r="L16" i="3"/>
  <c r="K35" i="2" s="1"/>
  <c r="K16" i="3"/>
  <c r="J35" i="2" s="1"/>
  <c r="J16" i="3"/>
  <c r="I35" i="2" s="1"/>
  <c r="I16" i="3"/>
  <c r="H35" i="2" s="1"/>
  <c r="H16" i="3"/>
  <c r="G16" i="3"/>
  <c r="F16" i="3"/>
  <c r="E35" i="2" s="1"/>
  <c r="E16" i="3"/>
  <c r="D16" i="3"/>
  <c r="E13" i="5"/>
  <c r="E7" i="5"/>
  <c r="D26" i="4"/>
  <c r="D24" i="4"/>
  <c r="D27" i="4"/>
  <c r="D25" i="4"/>
  <c r="D23" i="4"/>
  <c r="D9" i="3"/>
  <c r="L7" i="3" l="1"/>
  <c r="K14" i="3"/>
  <c r="D11" i="3"/>
  <c r="D10" i="3" s="1"/>
  <c r="C32" i="2" s="1"/>
  <c r="F17" i="6"/>
  <c r="G17" i="6" s="1"/>
  <c r="H17" i="6" s="1"/>
  <c r="I17" i="6" s="1"/>
  <c r="J17" i="6" s="1"/>
  <c r="K17" i="6" s="1"/>
  <c r="L17" i="6" s="1"/>
  <c r="F17" i="3"/>
  <c r="E23" i="4"/>
  <c r="H14" i="4"/>
  <c r="G27" i="4"/>
  <c r="C21" i="2"/>
  <c r="F24" i="4"/>
  <c r="E26" i="4"/>
  <c r="F25" i="4"/>
  <c r="K8" i="5"/>
  <c r="D13" i="3" s="1"/>
  <c r="E13" i="3" s="1"/>
  <c r="F13" i="3" s="1"/>
  <c r="G13" i="3" s="1"/>
  <c r="H13" i="3" s="1"/>
  <c r="I13" i="3" s="1"/>
  <c r="J13" i="3" s="1"/>
  <c r="K13" i="3" s="1"/>
  <c r="L13" i="3" s="1"/>
  <c r="M13" i="3" s="1"/>
  <c r="E24" i="4"/>
  <c r="F9" i="3"/>
  <c r="F23" i="4"/>
  <c r="E9" i="3"/>
  <c r="E25" i="4"/>
  <c r="D17" i="3"/>
  <c r="C36" i="2" s="1"/>
  <c r="C35" i="2"/>
  <c r="G35" i="2"/>
  <c r="D35" i="2"/>
  <c r="F35" i="2"/>
  <c r="D28" i="4"/>
  <c r="D12" i="3" s="1"/>
  <c r="M7" i="3" l="1"/>
  <c r="M14" i="3" s="1"/>
  <c r="L14" i="3"/>
  <c r="F11" i="3"/>
  <c r="F10" i="3" s="1"/>
  <c r="E32" i="2" s="1"/>
  <c r="E11" i="3"/>
  <c r="E10" i="3" s="1"/>
  <c r="D32" i="2" s="1"/>
  <c r="E28" i="4"/>
  <c r="E12" i="3" s="1"/>
  <c r="D33" i="2" s="1"/>
  <c r="F26" i="4"/>
  <c r="F28" i="4" s="1"/>
  <c r="F12" i="3" s="1"/>
  <c r="E33" i="2" s="1"/>
  <c r="I14" i="4"/>
  <c r="H27" i="4"/>
  <c r="D21" i="2"/>
  <c r="G24" i="4"/>
  <c r="G26" i="4"/>
  <c r="G23" i="4"/>
  <c r="G9" i="3"/>
  <c r="G25" i="4"/>
  <c r="D15" i="3"/>
  <c r="D18" i="3" s="1"/>
  <c r="D20" i="3" s="1"/>
  <c r="D21" i="3" s="1"/>
  <c r="E21" i="2"/>
  <c r="E17" i="3"/>
  <c r="D36" i="2" s="1"/>
  <c r="C33" i="2"/>
  <c r="C11" i="2"/>
  <c r="G11" i="3" l="1"/>
  <c r="G10" i="3" s="1"/>
  <c r="F32" i="2" s="1"/>
  <c r="C38" i="2"/>
  <c r="C41" i="2" s="1"/>
  <c r="C51" i="2" s="1"/>
  <c r="U84" i="8"/>
  <c r="J14" i="4"/>
  <c r="I27" i="4"/>
  <c r="F15" i="3"/>
  <c r="E15" i="3"/>
  <c r="E18" i="3" s="1"/>
  <c r="E20" i="3" s="1"/>
  <c r="G28" i="4"/>
  <c r="G12" i="3" s="1"/>
  <c r="F33" i="2" s="1"/>
  <c r="H24" i="4"/>
  <c r="H25" i="4"/>
  <c r="H26" i="4"/>
  <c r="H23" i="4"/>
  <c r="H9" i="3"/>
  <c r="F21" i="2"/>
  <c r="E36" i="2"/>
  <c r="H11" i="3" l="1"/>
  <c r="H10" i="3" s="1"/>
  <c r="G32" i="2" s="1"/>
  <c r="E21" i="3"/>
  <c r="D22" i="3"/>
  <c r="H10" i="19" s="1"/>
  <c r="K14" i="4"/>
  <c r="J27" i="4"/>
  <c r="H28" i="4"/>
  <c r="H12" i="3" s="1"/>
  <c r="G33" i="2" s="1"/>
  <c r="I26" i="4"/>
  <c r="I23" i="4"/>
  <c r="I9" i="3"/>
  <c r="H34" i="2"/>
  <c r="I24" i="4"/>
  <c r="I25" i="4"/>
  <c r="G15" i="3"/>
  <c r="G21" i="2"/>
  <c r="F18" i="3"/>
  <c r="F20" i="3" s="1"/>
  <c r="F21" i="3" s="1"/>
  <c r="G17" i="3"/>
  <c r="D5" i="19" l="1"/>
  <c r="D6" i="19" s="1"/>
  <c r="D16" i="19" s="1"/>
  <c r="H14" i="19"/>
  <c r="H16" i="19" s="1"/>
  <c r="D38" i="2"/>
  <c r="D41" i="2" s="1"/>
  <c r="D51" i="2" s="1"/>
  <c r="I11" i="3"/>
  <c r="I10" i="3" s="1"/>
  <c r="H32" i="2" s="1"/>
  <c r="E22" i="3"/>
  <c r="Q10" i="19" s="1"/>
  <c r="T80" i="8"/>
  <c r="C80" i="8"/>
  <c r="T31" i="8"/>
  <c r="T32" i="8" s="1"/>
  <c r="T33" i="8" s="1"/>
  <c r="T54" i="8"/>
  <c r="T55" i="8" s="1"/>
  <c r="C31" i="8"/>
  <c r="C32" i="8" s="1"/>
  <c r="L14" i="4"/>
  <c r="K27" i="4"/>
  <c r="H21" i="2"/>
  <c r="H15" i="3"/>
  <c r="I28" i="4"/>
  <c r="I12" i="3" s="1"/>
  <c r="H33" i="2" s="1"/>
  <c r="I34" i="2"/>
  <c r="J24" i="4"/>
  <c r="J25" i="4"/>
  <c r="J26" i="4"/>
  <c r="J23" i="4"/>
  <c r="J9" i="3"/>
  <c r="H17" i="3"/>
  <c r="F36" i="2"/>
  <c r="G18" i="3"/>
  <c r="G20" i="3" s="1"/>
  <c r="G21" i="3" s="1"/>
  <c r="E38" i="2"/>
  <c r="E41" i="2" s="1"/>
  <c r="E51" i="2" s="1"/>
  <c r="M5" i="19" l="1"/>
  <c r="M6" i="19" s="1"/>
  <c r="M16" i="19" s="1"/>
  <c r="Q14" i="19"/>
  <c r="Q16" i="19" s="1"/>
  <c r="U54" i="8"/>
  <c r="U55" i="8" s="1"/>
  <c r="D31" i="8"/>
  <c r="D32" i="8" s="1"/>
  <c r="D80" i="8"/>
  <c r="D81" i="8" s="1"/>
  <c r="U80" i="8"/>
  <c r="U31" i="8"/>
  <c r="U32" i="8" s="1"/>
  <c r="U33" i="8" s="1"/>
  <c r="J11" i="3"/>
  <c r="J10" i="3" s="1"/>
  <c r="I32" i="2" s="1"/>
  <c r="C81" i="8"/>
  <c r="E80" i="8"/>
  <c r="E81" i="8" s="1"/>
  <c r="V31" i="8"/>
  <c r="V32" i="8" s="1"/>
  <c r="V80" i="8"/>
  <c r="V54" i="8"/>
  <c r="V55" i="8" s="1"/>
  <c r="E31" i="8"/>
  <c r="M14" i="4"/>
  <c r="M27" i="4" s="1"/>
  <c r="L27" i="4"/>
  <c r="J28" i="4"/>
  <c r="J12" i="3" s="1"/>
  <c r="I33" i="2" s="1"/>
  <c r="I15" i="3"/>
  <c r="I21" i="2"/>
  <c r="J34" i="2"/>
  <c r="K26" i="4"/>
  <c r="K23" i="4"/>
  <c r="K9" i="3"/>
  <c r="K24" i="4"/>
  <c r="K25" i="4"/>
  <c r="I17" i="3"/>
  <c r="F22" i="3"/>
  <c r="Z10" i="19" s="1"/>
  <c r="F38" i="2"/>
  <c r="F41" i="2" s="1"/>
  <c r="F51" i="2" s="1"/>
  <c r="G36" i="2"/>
  <c r="H18" i="3"/>
  <c r="H20" i="3" s="1"/>
  <c r="H21" i="3" s="1"/>
  <c r="V5" i="19" l="1"/>
  <c r="V6" i="19" s="1"/>
  <c r="V16" i="19" s="1"/>
  <c r="Z14" i="19"/>
  <c r="Z16" i="19" s="1"/>
  <c r="V33" i="8"/>
  <c r="E32" i="8"/>
  <c r="K11" i="3"/>
  <c r="K10" i="3" s="1"/>
  <c r="J32" i="2" s="1"/>
  <c r="F80" i="8"/>
  <c r="W31" i="8"/>
  <c r="W32" i="8" s="1"/>
  <c r="W80" i="8"/>
  <c r="W54" i="8"/>
  <c r="W55" i="8" s="1"/>
  <c r="F31" i="8"/>
  <c r="K28" i="4"/>
  <c r="K12" i="3" s="1"/>
  <c r="J33" i="2" s="1"/>
  <c r="J21" i="2"/>
  <c r="L24" i="4"/>
  <c r="L25" i="4"/>
  <c r="K34" i="2"/>
  <c r="L26" i="4"/>
  <c r="L23" i="4"/>
  <c r="L9" i="3"/>
  <c r="J15" i="3"/>
  <c r="H36" i="2"/>
  <c r="I18" i="3"/>
  <c r="I20" i="3" s="1"/>
  <c r="I21" i="3" s="1"/>
  <c r="G38" i="2"/>
  <c r="G41" i="2" s="1"/>
  <c r="G51" i="2" s="1"/>
  <c r="G22" i="3"/>
  <c r="AI10" i="19" s="1"/>
  <c r="J17" i="3"/>
  <c r="AE5" i="19" l="1"/>
  <c r="AE6" i="19" s="1"/>
  <c r="AE16" i="19" s="1"/>
  <c r="AI14" i="19"/>
  <c r="AI16" i="19" s="1"/>
  <c r="W33" i="8"/>
  <c r="F32" i="8"/>
  <c r="L11" i="3"/>
  <c r="L10" i="3" s="1"/>
  <c r="K32" i="2" s="1"/>
  <c r="F81" i="8"/>
  <c r="G80" i="8"/>
  <c r="G81" i="8" s="1"/>
  <c r="X31" i="8"/>
  <c r="X32" i="8" s="1"/>
  <c r="X80" i="8"/>
  <c r="X54" i="8"/>
  <c r="X55" i="8" s="1"/>
  <c r="G31" i="8"/>
  <c r="L28" i="4"/>
  <c r="L12" i="3" s="1"/>
  <c r="K33" i="2" s="1"/>
  <c r="K21" i="2"/>
  <c r="L34" i="2"/>
  <c r="M26" i="4"/>
  <c r="M23" i="4"/>
  <c r="M9" i="3"/>
  <c r="M24" i="4"/>
  <c r="M25" i="4"/>
  <c r="K15" i="3"/>
  <c r="I36" i="2"/>
  <c r="J18" i="3"/>
  <c r="J20" i="3" s="1"/>
  <c r="J21" i="3" s="1"/>
  <c r="K17" i="3"/>
  <c r="H22" i="3"/>
  <c r="AR10" i="19" s="1"/>
  <c r="H38" i="2"/>
  <c r="H41" i="2" s="1"/>
  <c r="AN5" i="19" l="1"/>
  <c r="AN6" i="19" s="1"/>
  <c r="AN16" i="19" s="1"/>
  <c r="AR14" i="19"/>
  <c r="AR16" i="19" s="1"/>
  <c r="X33" i="8"/>
  <c r="G32" i="8"/>
  <c r="M11" i="3"/>
  <c r="M10" i="3" s="1"/>
  <c r="L32" i="2" s="1"/>
  <c r="H51" i="2"/>
  <c r="L15" i="3"/>
  <c r="M28" i="4"/>
  <c r="M12" i="3" s="1"/>
  <c r="L33" i="2" s="1"/>
  <c r="L21" i="2"/>
  <c r="I22" i="3"/>
  <c r="H30" i="19" s="1"/>
  <c r="M17" i="3"/>
  <c r="L17" i="3"/>
  <c r="I38" i="2"/>
  <c r="I41" i="2" s="1"/>
  <c r="I51" i="2" s="1"/>
  <c r="J36" i="2"/>
  <c r="K18" i="3"/>
  <c r="K20" i="3" s="1"/>
  <c r="K21" i="3" s="1"/>
  <c r="D25" i="19" l="1"/>
  <c r="D26" i="19" s="1"/>
  <c r="D36" i="19" s="1"/>
  <c r="H34" i="19"/>
  <c r="H36" i="19" s="1"/>
  <c r="H31" i="8"/>
  <c r="H32" i="8" s="1"/>
  <c r="Y80" i="8"/>
  <c r="Y54" i="8"/>
  <c r="Y55" i="8" s="1"/>
  <c r="H80" i="8"/>
  <c r="Y31" i="8"/>
  <c r="Y32" i="8" s="1"/>
  <c r="Y33" i="8" s="1"/>
  <c r="I31" i="8"/>
  <c r="I80" i="8"/>
  <c r="I81" i="8" s="1"/>
  <c r="Z31" i="8"/>
  <c r="Z32" i="8" s="1"/>
  <c r="Z80" i="8"/>
  <c r="Z54" i="8"/>
  <c r="Z55" i="8" s="1"/>
  <c r="M15" i="3"/>
  <c r="M18" i="3" s="1"/>
  <c r="M20" i="3" s="1"/>
  <c r="M21" i="3" s="1"/>
  <c r="L36" i="2"/>
  <c r="J38" i="2"/>
  <c r="J41" i="2" s="1"/>
  <c r="J51" i="2" s="1"/>
  <c r="J22" i="3"/>
  <c r="Q30" i="19" s="1"/>
  <c r="K36" i="2"/>
  <c r="L18" i="3"/>
  <c r="L20" i="3" s="1"/>
  <c r="L21" i="3" s="1"/>
  <c r="M25" i="19" l="1"/>
  <c r="M26" i="19" s="1"/>
  <c r="M36" i="19" s="1"/>
  <c r="Q34" i="19"/>
  <c r="Q36" i="19" s="1"/>
  <c r="H81" i="8"/>
  <c r="I32" i="8"/>
  <c r="J80" i="8"/>
  <c r="J81" i="8" s="1"/>
  <c r="AA31" i="8"/>
  <c r="AA32" i="8" s="1"/>
  <c r="AA80" i="8"/>
  <c r="AA54" i="8"/>
  <c r="AA55" i="8" s="1"/>
  <c r="J31" i="8"/>
  <c r="Z33" i="8"/>
  <c r="K22" i="3"/>
  <c r="Z30" i="19" s="1"/>
  <c r="K38" i="2"/>
  <c r="K41" i="2" s="1"/>
  <c r="K51" i="2" s="1"/>
  <c r="L38" i="2"/>
  <c r="L41" i="2" s="1"/>
  <c r="L51" i="2" s="1"/>
  <c r="V25" i="19" l="1"/>
  <c r="V26" i="19" s="1"/>
  <c r="V36" i="19" s="1"/>
  <c r="Z34" i="19"/>
  <c r="Z36" i="19" s="1"/>
  <c r="L55" i="2"/>
  <c r="F53" i="8" s="1"/>
  <c r="G53" i="8" s="1"/>
  <c r="AA33" i="8"/>
  <c r="J32" i="8"/>
  <c r="AC80" i="8"/>
  <c r="AC54" i="8"/>
  <c r="AC55" i="8" s="1"/>
  <c r="L31" i="8"/>
  <c r="L80" i="8"/>
  <c r="L81" i="8" s="1"/>
  <c r="AC31" i="8"/>
  <c r="AC32" i="8" s="1"/>
  <c r="K80" i="8"/>
  <c r="AB31" i="8"/>
  <c r="AB32" i="8" s="1"/>
  <c r="AB80" i="8"/>
  <c r="AB54" i="8"/>
  <c r="AB55" i="8" s="1"/>
  <c r="K31" i="8"/>
  <c r="M22" i="3"/>
  <c r="AR30" i="19" s="1"/>
  <c r="L22" i="3"/>
  <c r="AI30" i="19" s="1"/>
  <c r="AN25" i="19" l="1"/>
  <c r="AN26" i="19" s="1"/>
  <c r="AN36" i="19" s="1"/>
  <c r="AR34" i="19"/>
  <c r="AR36" i="19" s="1"/>
  <c r="AE25" i="19"/>
  <c r="AE26" i="19" s="1"/>
  <c r="AE36" i="19" s="1"/>
  <c r="AI34" i="19"/>
  <c r="AI36" i="19" s="1"/>
  <c r="AB33" i="8"/>
  <c r="AC33" i="8" s="1"/>
  <c r="T35" i="8" s="1"/>
  <c r="N9" i="18" s="1"/>
  <c r="K81" i="8"/>
  <c r="C83" i="8" s="1"/>
  <c r="T83" i="8"/>
  <c r="T85" i="8"/>
  <c r="K32" i="8"/>
  <c r="L32" i="8" s="1"/>
  <c r="T57" i="8"/>
  <c r="T59" i="8" s="1"/>
  <c r="H12" i="18" l="1"/>
  <c r="D83" i="8"/>
  <c r="N12" i="18" s="1"/>
  <c r="N10" i="18"/>
  <c r="H10" i="18"/>
  <c r="H11" i="18"/>
  <c r="U59" i="8"/>
  <c r="N11" i="18" s="1"/>
  <c r="T37" i="8"/>
  <c r="C34" i="8"/>
  <c r="N8" i="18" s="1"/>
  <c r="U83" i="8"/>
  <c r="U86" i="8" s="1"/>
  <c r="T86" i="8"/>
  <c r="U37" i="8" l="1"/>
  <c r="I9" i="18" s="1"/>
  <c r="H9" i="18"/>
  <c r="C36" i="8"/>
  <c r="V37" i="8"/>
  <c r="T88" i="8"/>
  <c r="T89" i="8" s="1"/>
  <c r="D36" i="8" l="1"/>
  <c r="I8" i="18" s="1"/>
  <c r="H8" i="18"/>
  <c r="W37" i="8"/>
  <c r="K9" i="18" s="1"/>
  <c r="J9" i="18"/>
  <c r="V88" i="8"/>
  <c r="N13" i="18" s="1"/>
  <c r="H13" i="18"/>
  <c r="E36" i="8"/>
  <c r="J8" i="18" s="1"/>
  <c r="X37" i="8"/>
  <c r="Y37" i="8" l="1"/>
  <c r="M9" i="18" s="1"/>
  <c r="L9" i="18"/>
  <c r="G36" i="8"/>
  <c r="F36" i="8"/>
  <c r="K8" i="18" s="1"/>
  <c r="H36" i="8" l="1"/>
  <c r="M8" i="18" s="1"/>
  <c r="L8" i="18"/>
</calcChain>
</file>

<file path=xl/sharedStrings.xml><?xml version="1.0" encoding="utf-8"?>
<sst xmlns="http://schemas.openxmlformats.org/spreadsheetml/2006/main" count="375" uniqueCount="148">
  <si>
    <t xml:space="preserve">Terreno </t>
  </si>
  <si>
    <t>Unidades</t>
  </si>
  <si>
    <t>Ventas</t>
  </si>
  <si>
    <t>IVA</t>
  </si>
  <si>
    <t>Ventas Netas</t>
  </si>
  <si>
    <t>Utilidad Bruta</t>
  </si>
  <si>
    <t>Gastos Financieros</t>
  </si>
  <si>
    <t>Utilidad del Ejercicio</t>
  </si>
  <si>
    <t>AÑOS</t>
  </si>
  <si>
    <t>Gastos Adminitrativos</t>
  </si>
  <si>
    <t>Precio</t>
  </si>
  <si>
    <t>Costo Subcontrato</t>
  </si>
  <si>
    <t xml:space="preserve">Gastos Administrativos </t>
  </si>
  <si>
    <t xml:space="preserve">Gastos de Ventas </t>
  </si>
  <si>
    <t xml:space="preserve">Utilidad de operación </t>
  </si>
  <si>
    <t>Utilidad antes de Impuesto</t>
  </si>
  <si>
    <t xml:space="preserve">Impuestos </t>
  </si>
  <si>
    <t>años</t>
  </si>
  <si>
    <t>$</t>
  </si>
  <si>
    <t xml:space="preserve">Gastos de Venta </t>
  </si>
  <si>
    <t>Costo de Produccion</t>
  </si>
  <si>
    <t>Costo de Subcon.</t>
  </si>
  <si>
    <t>Pago de Maquina</t>
  </si>
  <si>
    <t>FNE</t>
  </si>
  <si>
    <t>PR</t>
  </si>
  <si>
    <t>VP</t>
  </si>
  <si>
    <t>FNE/I0</t>
  </si>
  <si>
    <t>I=</t>
  </si>
  <si>
    <t>K=</t>
  </si>
  <si>
    <t>RAP</t>
  </si>
  <si>
    <t>SUMA FNE</t>
  </si>
  <si>
    <t>VPN</t>
  </si>
  <si>
    <t>TIR</t>
  </si>
  <si>
    <t>INSTITUTO POLITÉCNICO NACIONAL</t>
  </si>
  <si>
    <t>Escuela Superior de Cómputo</t>
  </si>
  <si>
    <t>"ESCOM"</t>
  </si>
  <si>
    <t>MATERIA:</t>
  </si>
  <si>
    <t>ADMINISTRACIÓN FINANCIERA</t>
  </si>
  <si>
    <t>PROFESOR:</t>
  </si>
  <si>
    <t>RODRÍGUEZ FLORES EDUARDO</t>
  </si>
  <si>
    <t>ALUMNOS:</t>
  </si>
  <si>
    <t>GRUPO:</t>
  </si>
  <si>
    <t>PRESUPESTO DE INVERSIÓN</t>
  </si>
  <si>
    <t>INGRESOS</t>
  </si>
  <si>
    <t>EGRESOS</t>
  </si>
  <si>
    <t>ESTADO DE RESULTADOS</t>
  </si>
  <si>
    <t>-</t>
  </si>
  <si>
    <t>TOTALES</t>
  </si>
  <si>
    <t>INGRESO DE DATOS</t>
  </si>
  <si>
    <t>DEPRECIACIÓN</t>
  </si>
  <si>
    <t xml:space="preserve">Infraestructura </t>
  </si>
  <si>
    <t>Años</t>
  </si>
  <si>
    <t>TOTAL</t>
  </si>
  <si>
    <t xml:space="preserve">Inversión </t>
  </si>
  <si>
    <t>Recuperación</t>
  </si>
  <si>
    <t>Total de Depreciación</t>
  </si>
  <si>
    <t>FLUJOS NETOS DE EFECTIVO (FNE)</t>
  </si>
  <si>
    <t>Inversión Terreno</t>
  </si>
  <si>
    <t xml:space="preserve">Capital de Trabajo </t>
  </si>
  <si>
    <t>VENTAS TOTALES</t>
  </si>
  <si>
    <t>FLUJOS NETOS DE EFECTIVO ANUALES</t>
  </si>
  <si>
    <t>COSTOS DE PRODUCCIÓN</t>
  </si>
  <si>
    <t>Costo de Materia Prima A</t>
  </si>
  <si>
    <t>Costo de Materia Prima B</t>
  </si>
  <si>
    <t xml:space="preserve">Costo de Materiales  </t>
  </si>
  <si>
    <t>Costo de Mano de Obra</t>
  </si>
  <si>
    <t>Costo del Mantenimiento del Equipo Anual</t>
  </si>
  <si>
    <t>Total de Costo de Producción</t>
  </si>
  <si>
    <t>COSTO DE PRODUCCIÓN UNITARIOS</t>
  </si>
  <si>
    <t>Depreciación</t>
  </si>
  <si>
    <t>Costo de producción</t>
  </si>
  <si>
    <t>Aumento de Unidades</t>
  </si>
  <si>
    <t>Gastos Administrativos</t>
  </si>
  <si>
    <t>Gastos de Venta</t>
  </si>
  <si>
    <t>Porcentaje</t>
  </si>
  <si>
    <t>Incremento esperado Anual</t>
  </si>
  <si>
    <t>COSTO DE PRODUCCIÓN TOTALES</t>
  </si>
  <si>
    <t>ESTADOS FINANCIEROS PRO-FORMA Y MÉTODOS PARA LA EVALUACIÓN FINANCIERA DE UN PROYECTO DE INVERSIÓN</t>
  </si>
  <si>
    <t>MÉTODO DE LA SUMA DE LOS FLUJOS NETOS DESCONTADOS</t>
  </si>
  <si>
    <t>MÉTODO DEL PERIODO DE RECUPERACIÓN</t>
  </si>
  <si>
    <t>Flujo de Efectivo Descontado</t>
  </si>
  <si>
    <t>Suma de los Flujos Descontados</t>
  </si>
  <si>
    <t>CRITERIO DE EVALUACIÓN</t>
  </si>
  <si>
    <t>RAP &gt; K</t>
  </si>
  <si>
    <t>ACEPTADO</t>
  </si>
  <si>
    <t>RAP &lt; K</t>
  </si>
  <si>
    <t>RECHAZADO</t>
  </si>
  <si>
    <t>RAP = K</t>
  </si>
  <si>
    <t>INDIFERENTE</t>
  </si>
  <si>
    <t>MÉTODO DE ÍNDICE DE RENTABILIDAD</t>
  </si>
  <si>
    <t>VP de los Flujos</t>
  </si>
  <si>
    <t>Suma VP de los Flujos</t>
  </si>
  <si>
    <t>Índice de Rentabilidad</t>
  </si>
  <si>
    <t>MÉTODO DEL VALOR PRENSENTE NETO (VPN)</t>
  </si>
  <si>
    <t>MÉTODO DE TASA INTERNA DE RETORNO (TIR)</t>
  </si>
  <si>
    <t>MÉTODO DEL RENDIMIENTO ANUAL PROMEDIO (RAP)</t>
  </si>
  <si>
    <t>INTERPOLACIÓN</t>
  </si>
  <si>
    <t>R</t>
  </si>
  <si>
    <t>MÉTODOS PARA LA DETERMINACIÓN DE PROYECTOS</t>
  </si>
  <si>
    <t>Suma</t>
  </si>
  <si>
    <t>K</t>
  </si>
  <si>
    <t>Periodo de Recuperación</t>
  </si>
  <si>
    <t>Suma de Flujos Netos Descontados</t>
  </si>
  <si>
    <t>Rendimiento Anual Promedio</t>
  </si>
  <si>
    <t>Valor Presente Neto</t>
  </si>
  <si>
    <t>Tasa Interna de Retorno</t>
  </si>
  <si>
    <t>Método aplicado</t>
  </si>
  <si>
    <t>Resultado</t>
  </si>
  <si>
    <t>Estado</t>
  </si>
  <si>
    <t>IR &gt; 1</t>
  </si>
  <si>
    <t>IR &lt; 1</t>
  </si>
  <si>
    <t>IR = 1</t>
  </si>
  <si>
    <t>TIR &lt; 0</t>
  </si>
  <si>
    <t>TIR = 0</t>
  </si>
  <si>
    <t>TIR &gt; 0</t>
  </si>
  <si>
    <t>INFORME DE LOS MÉTODOS</t>
  </si>
  <si>
    <t>2CM8</t>
  </si>
  <si>
    <t>ROJAS ALVARADO LUIS ENNRIQUE</t>
  </si>
  <si>
    <t>BALANCE GENERAL PRIMER AÑO</t>
  </si>
  <si>
    <t>Activos</t>
  </si>
  <si>
    <t>Pasivos</t>
  </si>
  <si>
    <t>Capital de trabajo</t>
  </si>
  <si>
    <t>Total de Activos Circulantes</t>
  </si>
  <si>
    <t>Total de Pasivos</t>
  </si>
  <si>
    <t>Activos Fijos</t>
  </si>
  <si>
    <t>Capital Contable</t>
  </si>
  <si>
    <t>Terreno</t>
  </si>
  <si>
    <t>Capital</t>
  </si>
  <si>
    <t>Infraestructura</t>
  </si>
  <si>
    <t>Utilidad</t>
  </si>
  <si>
    <t>Maquinaria</t>
  </si>
  <si>
    <t>Total Activos Fijos</t>
  </si>
  <si>
    <t>Total de Capital Contable</t>
  </si>
  <si>
    <t>Total de Activos</t>
  </si>
  <si>
    <t>Pasivo x Capital</t>
  </si>
  <si>
    <t>BALANCE GENERAL SEGUNDO AÑO</t>
  </si>
  <si>
    <t>BALANCE GENERAL TERCER AÑO</t>
  </si>
  <si>
    <t>BALANCE GENERAL CUARTO AÑO</t>
  </si>
  <si>
    <t>BALANCE GENERAL QUINTO AÑO</t>
  </si>
  <si>
    <t>BALANCE GENERAL SEXTO AÑO</t>
  </si>
  <si>
    <t>BALANCE GENERAL SÉPTIMO AÑO</t>
  </si>
  <si>
    <t>BALANCE GENERAL OCTAVO AÑO</t>
  </si>
  <si>
    <t>BALANCE GENERAL NOVENO AÑO</t>
  </si>
  <si>
    <t>BALANCE GENERAL DECIMO AÑO</t>
  </si>
  <si>
    <t>ROBLES SOSA PAULA GUADALUPE</t>
  </si>
  <si>
    <t xml:space="preserve">MARCO TEÓRICO </t>
  </si>
  <si>
    <t>Crear un simulador sobre el punto de equilibrio, que permita apoyar la planeación financiera, para lo cual se realizan diferentes simulaciones utilizando los datos provistos en la documentación de la practica 4. Así como ordenar de a manera de resultado si es conveniente invertir en un proyecto y saber si éste te generará ganancias despúes de cierto tiempo.</t>
  </si>
  <si>
    <t>OBJETIVO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</si>
</sst>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44" formatCode="_-&quot;$&quot;* #,##0.00_-;\-&quot;$&quot;* #,##0.00_-;_-&quot;$&quot;* &quot;-&quot;??_-;_-@_-"/>
    <numFmt numFmtId="164" formatCode="&quot;$&quot;#,##0.00"/>
  </numFmts>
  <fonts count="34" x14ac:knownFonts="1">
    <font>
      <sz val="11"/>
      <color theme="1"/>
      <name val="Calibri"/>
      <family val="2"/>
      <scheme val="minor"/>
    </font>
    <font>
      <sz val="11"/>
      <color theme="1"/>
      <name val="Calibri"/>
      <family val="2"/>
      <scheme val="minor"/>
    </font>
    <font>
      <sz val="11"/>
      <color rgb="FF000000"/>
      <name val="Arial"/>
      <family val="2"/>
    </font>
    <font>
      <sz val="11"/>
      <name val="Calibri"/>
      <family val="2"/>
    </font>
    <font>
      <b/>
      <sz val="18"/>
      <color rgb="FF000000"/>
      <name val="Arial"/>
      <family val="2"/>
    </font>
    <font>
      <sz val="36"/>
      <color theme="0"/>
      <name val="Bauhaus 93"/>
      <family val="5"/>
    </font>
    <font>
      <sz val="10"/>
      <color rgb="FF000000"/>
      <name val="Century Gothic"/>
      <family val="2"/>
    </font>
    <font>
      <sz val="9"/>
      <color rgb="FF000000"/>
      <name val="Century Gothic"/>
      <family val="2"/>
    </font>
    <font>
      <sz val="11"/>
      <color rgb="FF000000"/>
      <name val="Century Gothic"/>
      <family val="2"/>
    </font>
    <font>
      <sz val="14"/>
      <color rgb="FF000000"/>
      <name val="Century Gothic"/>
      <family val="2"/>
    </font>
    <font>
      <sz val="14"/>
      <color theme="0"/>
      <name val="Century Gothic"/>
      <family val="2"/>
    </font>
    <font>
      <sz val="11"/>
      <color theme="1"/>
      <name val="Century Gothic"/>
      <family val="2"/>
    </font>
    <font>
      <sz val="14"/>
      <color theme="1"/>
      <name val="Century Gothic"/>
      <family val="2"/>
    </font>
    <font>
      <sz val="20"/>
      <color theme="0"/>
      <name val="Bell MT"/>
      <family val="1"/>
    </font>
    <font>
      <sz val="10"/>
      <color theme="1"/>
      <name val="Century Gothic"/>
      <family val="2"/>
    </font>
    <font>
      <b/>
      <sz val="10"/>
      <color theme="1"/>
      <name val="Century Gothic"/>
      <family val="2"/>
    </font>
    <font>
      <b/>
      <i/>
      <sz val="10"/>
      <color theme="1"/>
      <name val="Century Gothic"/>
      <family val="2"/>
    </font>
    <font>
      <sz val="36"/>
      <color theme="1"/>
      <name val="Century Gothic"/>
      <family val="2"/>
    </font>
    <font>
      <sz val="18"/>
      <color theme="1"/>
      <name val="Century Gothic"/>
      <family val="2"/>
    </font>
    <font>
      <sz val="15"/>
      <color theme="1"/>
      <name val="Century Gothic"/>
      <family val="2"/>
    </font>
    <font>
      <sz val="16"/>
      <color theme="1"/>
      <name val="Century Gothic"/>
      <family val="2"/>
    </font>
    <font>
      <sz val="22"/>
      <color theme="1"/>
      <name val="AR CHRISTY"/>
    </font>
    <font>
      <sz val="12"/>
      <color theme="1"/>
      <name val="Century Gothic"/>
      <family val="2"/>
    </font>
    <font>
      <b/>
      <sz val="16"/>
      <color theme="1"/>
      <name val="AR CHRISTY"/>
    </font>
    <font>
      <sz val="22"/>
      <color theme="1"/>
      <name val="Century Gothic"/>
      <family val="2"/>
    </font>
    <font>
      <sz val="26"/>
      <color theme="1"/>
      <name val="AR CHRISTY"/>
    </font>
    <font>
      <b/>
      <sz val="18"/>
      <color theme="1"/>
      <name val="Century Gothic"/>
      <family val="2"/>
    </font>
    <font>
      <sz val="36"/>
      <color theme="1"/>
      <name val="AR CHRISTY"/>
    </font>
    <font>
      <sz val="28"/>
      <color theme="1"/>
      <name val="AR CHRISTY"/>
    </font>
    <font>
      <u/>
      <sz val="11"/>
      <color theme="1"/>
      <name val="Century Gothic"/>
      <family val="2"/>
    </font>
    <font>
      <sz val="24"/>
      <color theme="1"/>
      <name val="Century Gothic"/>
      <family val="2"/>
    </font>
    <font>
      <sz val="12"/>
      <color theme="1"/>
      <name val="Arial"/>
      <family val="2"/>
    </font>
    <font>
      <sz val="15"/>
      <color theme="1"/>
      <name val="Arial"/>
      <family val="2"/>
    </font>
    <font>
      <sz val="22"/>
      <color theme="1"/>
      <name val="Calibri"/>
      <family val="2"/>
      <scheme val="minor"/>
    </font>
  </fonts>
  <fills count="25">
    <fill>
      <patternFill patternType="none"/>
    </fill>
    <fill>
      <patternFill patternType="gray125"/>
    </fill>
    <fill>
      <patternFill patternType="solid">
        <fgColor theme="0"/>
        <bgColor indexed="64"/>
      </patternFill>
    </fill>
    <fill>
      <patternFill patternType="solid">
        <fgColor theme="4" tint="-0.499984740745262"/>
        <bgColor indexed="64"/>
      </patternFill>
    </fill>
    <fill>
      <patternFill patternType="solid">
        <fgColor theme="0" tint="-4.9989318521683403E-2"/>
        <bgColor indexed="64"/>
      </patternFill>
    </fill>
    <fill>
      <patternFill patternType="solid">
        <fgColor theme="8" tint="-0.499984740745262"/>
        <bgColor indexed="64"/>
      </patternFill>
    </fill>
    <fill>
      <patternFill patternType="solid">
        <fgColor theme="6" tint="-0.499984740745262"/>
        <bgColor indexed="64"/>
      </patternFill>
    </fill>
    <fill>
      <patternFill patternType="solid">
        <fgColor theme="8" tint="-0.249977111117893"/>
        <bgColor indexed="64"/>
      </patternFill>
    </fill>
    <fill>
      <patternFill patternType="solid">
        <fgColor rgb="FFCC66FF"/>
        <bgColor indexed="64"/>
      </patternFill>
    </fill>
    <fill>
      <patternFill patternType="solid">
        <fgColor rgb="FF00B0F0"/>
        <bgColor indexed="64"/>
      </patternFill>
    </fill>
    <fill>
      <patternFill patternType="solid">
        <fgColor theme="7" tint="0.79998168889431442"/>
        <bgColor indexed="64"/>
      </patternFill>
    </fill>
    <fill>
      <patternFill patternType="solid">
        <fgColor rgb="FFFFCC99"/>
        <bgColor indexed="64"/>
      </patternFill>
    </fill>
    <fill>
      <patternFill patternType="solid">
        <fgColor theme="4" tint="0.79998168889431442"/>
        <bgColor indexed="64"/>
      </patternFill>
    </fill>
    <fill>
      <patternFill patternType="solid">
        <fgColor rgb="FFFFCCCC"/>
        <bgColor indexed="64"/>
      </patternFill>
    </fill>
    <fill>
      <patternFill patternType="solid">
        <fgColor rgb="FFFFFF00"/>
        <bgColor indexed="64"/>
      </patternFill>
    </fill>
    <fill>
      <patternFill patternType="solid">
        <fgColor theme="2"/>
        <bgColor indexed="64"/>
      </patternFill>
    </fill>
    <fill>
      <patternFill patternType="solid">
        <fgColor theme="1"/>
        <bgColor indexed="64"/>
      </patternFill>
    </fill>
    <fill>
      <patternFill patternType="solid">
        <fgColor rgb="FFFF7C80"/>
        <bgColor indexed="64"/>
      </patternFill>
    </fill>
    <fill>
      <patternFill patternType="solid">
        <fgColor rgb="FFCCFFFF"/>
        <bgColor indexed="64"/>
      </patternFill>
    </fill>
    <fill>
      <patternFill patternType="solid">
        <fgColor theme="7"/>
        <bgColor indexed="64"/>
      </patternFill>
    </fill>
    <fill>
      <patternFill patternType="solid">
        <fgColor theme="7" tint="0.59999389629810485"/>
        <bgColor indexed="64"/>
      </patternFill>
    </fill>
    <fill>
      <patternFill patternType="solid">
        <fgColor theme="5" tint="0.79998168889431442"/>
        <bgColor indexed="64"/>
      </patternFill>
    </fill>
    <fill>
      <patternFill patternType="solid">
        <fgColor theme="7" tint="0.39997558519241921"/>
        <bgColor indexed="64"/>
      </patternFill>
    </fill>
    <fill>
      <patternFill patternType="solid">
        <fgColor theme="8" tint="0.39997558519241921"/>
        <bgColor indexed="64"/>
      </patternFill>
    </fill>
    <fill>
      <patternFill patternType="solid">
        <fgColor theme="9" tint="0.59999389629810485"/>
        <bgColor indexed="64"/>
      </patternFill>
    </fill>
  </fills>
  <borders count="10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double">
        <color indexed="64"/>
      </bottom>
      <diagonal/>
    </border>
    <border>
      <left style="double">
        <color rgb="FF000000"/>
      </left>
      <right/>
      <top style="double">
        <color rgb="FF000000"/>
      </top>
      <bottom/>
      <diagonal/>
    </border>
    <border>
      <left/>
      <right/>
      <top style="double">
        <color rgb="FF000000"/>
      </top>
      <bottom/>
      <diagonal/>
    </border>
    <border>
      <left/>
      <right style="double">
        <color rgb="FF000000"/>
      </right>
      <top style="double">
        <color rgb="FF000000"/>
      </top>
      <bottom/>
      <diagonal/>
    </border>
    <border>
      <left style="double">
        <color rgb="FF000000"/>
      </left>
      <right/>
      <top/>
      <bottom/>
      <diagonal/>
    </border>
    <border>
      <left/>
      <right style="double">
        <color rgb="FF000000"/>
      </right>
      <top/>
      <bottom/>
      <diagonal/>
    </border>
    <border>
      <left style="double">
        <color rgb="FF000000"/>
      </left>
      <right/>
      <top/>
      <bottom style="double">
        <color rgb="FF000000"/>
      </bottom>
      <diagonal/>
    </border>
    <border>
      <left/>
      <right/>
      <top/>
      <bottom style="double">
        <color rgb="FF000000"/>
      </bottom>
      <diagonal/>
    </border>
    <border>
      <left/>
      <right style="double">
        <color rgb="FF000000"/>
      </right>
      <top/>
      <bottom style="double">
        <color rgb="FF000000"/>
      </bottom>
      <diagonal/>
    </border>
    <border>
      <left style="double">
        <color indexed="64"/>
      </left>
      <right style="thin">
        <color indexed="64"/>
      </right>
      <top style="double">
        <color indexed="64"/>
      </top>
      <bottom style="thin">
        <color indexed="64"/>
      </bottom>
      <diagonal/>
    </border>
    <border>
      <left style="thin">
        <color indexed="64"/>
      </left>
      <right style="double">
        <color indexed="64"/>
      </right>
      <top style="double">
        <color indexed="64"/>
      </top>
      <bottom style="thin">
        <color indexed="64"/>
      </bottom>
      <diagonal/>
    </border>
    <border>
      <left style="double">
        <color indexed="64"/>
      </left>
      <right style="thin">
        <color indexed="64"/>
      </right>
      <top style="thin">
        <color indexed="64"/>
      </top>
      <bottom style="thin">
        <color indexed="64"/>
      </bottom>
      <diagonal/>
    </border>
    <border>
      <left style="thin">
        <color indexed="64"/>
      </left>
      <right style="double">
        <color indexed="64"/>
      </right>
      <top style="thin">
        <color indexed="64"/>
      </top>
      <bottom style="thin">
        <color indexed="64"/>
      </bottom>
      <diagonal/>
    </border>
    <border>
      <left style="double">
        <color indexed="64"/>
      </left>
      <right style="thin">
        <color indexed="64"/>
      </right>
      <top style="thin">
        <color indexed="64"/>
      </top>
      <bottom style="double">
        <color indexed="64"/>
      </bottom>
      <diagonal/>
    </border>
    <border>
      <left style="thin">
        <color indexed="64"/>
      </left>
      <right style="double">
        <color indexed="64"/>
      </right>
      <top style="thin">
        <color indexed="64"/>
      </top>
      <bottom style="double">
        <color indexed="64"/>
      </bottom>
      <diagonal/>
    </border>
    <border>
      <left style="thin">
        <color indexed="64"/>
      </left>
      <right style="thin">
        <color indexed="64"/>
      </right>
      <top style="double">
        <color indexed="64"/>
      </top>
      <bottom style="thin">
        <color indexed="64"/>
      </bottom>
      <diagonal/>
    </border>
    <border>
      <left/>
      <right style="double">
        <color indexed="64"/>
      </right>
      <top/>
      <bottom style="double">
        <color indexed="64"/>
      </bottom>
      <diagonal/>
    </border>
    <border>
      <left/>
      <right style="thin">
        <color indexed="64"/>
      </right>
      <top style="thin">
        <color indexed="64"/>
      </top>
      <bottom style="thin">
        <color indexed="64"/>
      </bottom>
      <diagonal/>
    </border>
    <border>
      <left style="thin">
        <color indexed="64"/>
      </left>
      <right style="thin">
        <color indexed="64"/>
      </right>
      <top style="double">
        <color indexed="64"/>
      </top>
      <bottom style="double">
        <color indexed="64"/>
      </bottom>
      <diagonal/>
    </border>
    <border>
      <left style="thin">
        <color indexed="64"/>
      </left>
      <right style="double">
        <color indexed="64"/>
      </right>
      <top style="double">
        <color indexed="64"/>
      </top>
      <bottom style="double">
        <color indexed="64"/>
      </bottom>
      <diagonal/>
    </border>
    <border>
      <left/>
      <right/>
      <top/>
      <bottom style="double">
        <color indexed="64"/>
      </bottom>
      <diagonal/>
    </border>
    <border>
      <left style="double">
        <color auto="1"/>
      </left>
      <right style="double">
        <color auto="1"/>
      </right>
      <top style="double">
        <color auto="1"/>
      </top>
      <bottom style="double">
        <color auto="1"/>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style="thin">
        <color indexed="64"/>
      </left>
      <right style="double">
        <color indexed="64"/>
      </right>
      <top/>
      <bottom style="thin">
        <color indexed="64"/>
      </bottom>
      <diagonal/>
    </border>
    <border>
      <left/>
      <right style="thin">
        <color indexed="64"/>
      </right>
      <top/>
      <bottom style="thin">
        <color indexed="64"/>
      </bottom>
      <diagonal/>
    </border>
    <border>
      <left/>
      <right style="thin">
        <color indexed="64"/>
      </right>
      <top/>
      <bottom style="double">
        <color indexed="64"/>
      </bottom>
      <diagonal/>
    </border>
    <border>
      <left style="thin">
        <color indexed="64"/>
      </left>
      <right style="double">
        <color indexed="64"/>
      </right>
      <top/>
      <bottom style="double">
        <color indexed="64"/>
      </bottom>
      <diagonal/>
    </border>
    <border>
      <left/>
      <right/>
      <top/>
      <bottom style="thin">
        <color indexed="64"/>
      </bottom>
      <diagonal/>
    </border>
    <border>
      <left/>
      <right/>
      <top style="thin">
        <color indexed="64"/>
      </top>
      <bottom style="thin">
        <color indexed="64"/>
      </bottom>
      <diagonal/>
    </border>
    <border>
      <left style="thin">
        <color indexed="64"/>
      </left>
      <right/>
      <top style="thin">
        <color indexed="64"/>
      </top>
      <bottom style="double">
        <color indexed="64"/>
      </bottom>
      <diagonal/>
    </border>
    <border>
      <left style="double">
        <color theme="0"/>
      </left>
      <right style="double">
        <color theme="0"/>
      </right>
      <top style="double">
        <color theme="0"/>
      </top>
      <bottom style="double">
        <color theme="0"/>
      </bottom>
      <diagonal/>
    </border>
    <border>
      <left style="double">
        <color theme="0"/>
      </left>
      <right style="thin">
        <color theme="0"/>
      </right>
      <top style="double">
        <color theme="0"/>
      </top>
      <bottom style="double">
        <color theme="0"/>
      </bottom>
      <diagonal/>
    </border>
    <border>
      <left style="thin">
        <color theme="0"/>
      </left>
      <right style="thin">
        <color theme="0"/>
      </right>
      <top style="double">
        <color theme="0"/>
      </top>
      <bottom style="double">
        <color theme="0"/>
      </bottom>
      <diagonal/>
    </border>
    <border>
      <left style="thin">
        <color theme="0"/>
      </left>
      <right style="double">
        <color theme="0"/>
      </right>
      <top style="double">
        <color theme="0"/>
      </top>
      <bottom style="double">
        <color theme="0"/>
      </bottom>
      <diagonal/>
    </border>
    <border>
      <left style="double">
        <color theme="0"/>
      </left>
      <right style="thin">
        <color theme="0"/>
      </right>
      <top style="double">
        <color theme="0"/>
      </top>
      <bottom style="double">
        <color auto="1"/>
      </bottom>
      <diagonal/>
    </border>
    <border>
      <left style="thin">
        <color theme="0"/>
      </left>
      <right style="thin">
        <color theme="0"/>
      </right>
      <top style="double">
        <color theme="0"/>
      </top>
      <bottom style="double">
        <color auto="1"/>
      </bottom>
      <diagonal/>
    </border>
    <border>
      <left style="thin">
        <color theme="0"/>
      </left>
      <right style="double">
        <color theme="0"/>
      </right>
      <top style="double">
        <color theme="0"/>
      </top>
      <bottom style="double">
        <color auto="1"/>
      </bottom>
      <diagonal/>
    </border>
    <border>
      <left style="double">
        <color theme="0"/>
      </left>
      <right style="thin">
        <color indexed="64"/>
      </right>
      <top style="double">
        <color theme="0"/>
      </top>
      <bottom style="double">
        <color theme="0"/>
      </bottom>
      <diagonal/>
    </border>
    <border>
      <left style="double">
        <color theme="0"/>
      </left>
      <right style="double">
        <color auto="1"/>
      </right>
      <top style="double">
        <color theme="0"/>
      </top>
      <bottom style="double">
        <color theme="0"/>
      </bottom>
      <diagonal/>
    </border>
    <border>
      <left style="thin">
        <color indexed="64"/>
      </left>
      <right style="double">
        <color auto="1"/>
      </right>
      <top style="double">
        <color theme="0"/>
      </top>
      <bottom style="double">
        <color theme="0"/>
      </bottom>
      <diagonal/>
    </border>
    <border>
      <left style="double">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double">
        <color theme="0"/>
      </left>
      <right/>
      <top style="double">
        <color theme="0"/>
      </top>
      <bottom style="double">
        <color theme="0"/>
      </bottom>
      <diagonal/>
    </border>
    <border>
      <left/>
      <right/>
      <top style="double">
        <color theme="0"/>
      </top>
      <bottom style="double">
        <color theme="0"/>
      </bottom>
      <diagonal/>
    </border>
    <border>
      <left/>
      <right style="double">
        <color theme="0"/>
      </right>
      <top style="double">
        <color theme="0"/>
      </top>
      <bottom style="double">
        <color theme="0"/>
      </bottom>
      <diagonal/>
    </border>
    <border>
      <left/>
      <right style="double">
        <color indexed="64"/>
      </right>
      <top style="double">
        <color indexed="64"/>
      </top>
      <bottom style="thin">
        <color indexed="64"/>
      </bottom>
      <diagonal/>
    </border>
    <border>
      <left/>
      <right style="double">
        <color auto="1"/>
      </right>
      <top style="double">
        <color indexed="64"/>
      </top>
      <bottom/>
      <diagonal/>
    </border>
    <border>
      <left/>
      <right style="double">
        <color indexed="64"/>
      </right>
      <top style="thin">
        <color indexed="64"/>
      </top>
      <bottom style="double">
        <color indexed="64"/>
      </bottom>
      <diagonal/>
    </border>
    <border>
      <left/>
      <right style="double">
        <color indexed="64"/>
      </right>
      <top style="thin">
        <color indexed="64"/>
      </top>
      <bottom/>
      <diagonal/>
    </border>
    <border>
      <left/>
      <right style="double">
        <color indexed="64"/>
      </right>
      <top style="thin">
        <color indexed="64"/>
      </top>
      <bottom style="thin">
        <color indexed="64"/>
      </bottom>
      <diagonal/>
    </border>
    <border>
      <left style="double">
        <color theme="0"/>
      </left>
      <right style="medium">
        <color indexed="64"/>
      </right>
      <top style="double">
        <color theme="0"/>
      </top>
      <bottom/>
      <diagonal/>
    </border>
    <border>
      <left style="double">
        <color theme="0"/>
      </left>
      <right style="medium">
        <color indexed="64"/>
      </right>
      <top/>
      <bottom style="double">
        <color theme="0"/>
      </bottom>
      <diagonal/>
    </border>
    <border>
      <left/>
      <right style="double">
        <color auto="1"/>
      </right>
      <top style="double">
        <color theme="0"/>
      </top>
      <bottom style="double">
        <color theme="0"/>
      </bottom>
      <diagonal/>
    </border>
    <border>
      <left style="medium">
        <color indexed="64"/>
      </left>
      <right style="double">
        <color auto="1"/>
      </right>
      <top style="double">
        <color theme="0"/>
      </top>
      <bottom/>
      <diagonal/>
    </border>
    <border>
      <left style="medium">
        <color indexed="64"/>
      </left>
      <right style="double">
        <color auto="1"/>
      </right>
      <top/>
      <bottom style="double">
        <color theme="0"/>
      </bottom>
      <diagonal/>
    </border>
    <border>
      <left style="double">
        <color auto="1"/>
      </left>
      <right style="double">
        <color auto="1"/>
      </right>
      <top style="double">
        <color theme="0"/>
      </top>
      <bottom style="double">
        <color theme="0"/>
      </bottom>
      <diagonal/>
    </border>
    <border>
      <left style="double">
        <color auto="1"/>
      </left>
      <right style="double">
        <color theme="0"/>
      </right>
      <top style="double">
        <color theme="0"/>
      </top>
      <bottom style="double">
        <color theme="0"/>
      </bottom>
      <diagonal/>
    </border>
    <border>
      <left style="double">
        <color theme="0"/>
      </left>
      <right/>
      <top/>
      <bottom style="double">
        <color theme="0"/>
      </bottom>
      <diagonal/>
    </border>
    <border>
      <left/>
      <right style="double">
        <color auto="1"/>
      </right>
      <top/>
      <bottom style="double">
        <color theme="0"/>
      </bottom>
      <diagonal/>
    </border>
    <border>
      <left/>
      <right/>
      <top/>
      <bottom style="double">
        <color theme="0"/>
      </bottom>
      <diagonal/>
    </border>
    <border>
      <left/>
      <right style="double">
        <color theme="0"/>
      </right>
      <top/>
      <bottom style="double">
        <color theme="0"/>
      </bottom>
      <diagonal/>
    </border>
    <border>
      <left style="double">
        <color indexed="64"/>
      </left>
      <right style="double">
        <color indexed="64"/>
      </right>
      <top style="double">
        <color indexed="64"/>
      </top>
      <bottom style="thin">
        <color indexed="64"/>
      </bottom>
      <diagonal/>
    </border>
    <border>
      <left style="double">
        <color indexed="64"/>
      </left>
      <right style="double">
        <color indexed="64"/>
      </right>
      <top style="thin">
        <color indexed="64"/>
      </top>
      <bottom style="thin">
        <color indexed="64"/>
      </bottom>
      <diagonal/>
    </border>
    <border>
      <left style="double">
        <color indexed="64"/>
      </left>
      <right style="double">
        <color indexed="64"/>
      </right>
      <top style="thin">
        <color indexed="64"/>
      </top>
      <bottom style="double">
        <color indexed="64"/>
      </bottom>
      <diagonal/>
    </border>
    <border>
      <left style="thin">
        <color indexed="64"/>
      </left>
      <right style="thin">
        <color indexed="64"/>
      </right>
      <top style="double">
        <color indexed="64"/>
      </top>
      <bottom/>
      <diagonal/>
    </border>
    <border>
      <left style="thin">
        <color indexed="64"/>
      </left>
      <right style="double">
        <color indexed="64"/>
      </right>
      <top style="double">
        <color indexed="64"/>
      </top>
      <bottom/>
      <diagonal/>
    </border>
    <border>
      <left style="double">
        <color theme="0"/>
      </left>
      <right/>
      <top style="double">
        <color theme="0"/>
      </top>
      <bottom/>
      <diagonal/>
    </border>
    <border>
      <left/>
      <right/>
      <top style="double">
        <color theme="0"/>
      </top>
      <bottom/>
      <diagonal/>
    </border>
    <border>
      <left/>
      <right style="double">
        <color theme="0"/>
      </right>
      <top style="double">
        <color theme="0"/>
      </top>
      <bottom/>
      <diagonal/>
    </border>
    <border>
      <left style="double">
        <color theme="0"/>
      </left>
      <right/>
      <top/>
      <bottom/>
      <diagonal/>
    </border>
    <border>
      <left/>
      <right style="double">
        <color theme="0"/>
      </right>
      <top/>
      <bottom/>
      <diagonal/>
    </border>
    <border>
      <left style="double">
        <color indexed="64"/>
      </left>
      <right style="double">
        <color indexed="64"/>
      </right>
      <top style="thin">
        <color indexed="64"/>
      </top>
      <bottom/>
      <diagonal/>
    </border>
    <border>
      <left/>
      <right style="thin">
        <color indexed="64"/>
      </right>
      <top style="double">
        <color theme="0"/>
      </top>
      <bottom style="double">
        <color theme="0"/>
      </bottom>
      <diagonal/>
    </border>
    <border>
      <left style="thin">
        <color indexed="64"/>
      </left>
      <right style="double">
        <color theme="1"/>
      </right>
      <top style="thin">
        <color indexed="64"/>
      </top>
      <bottom style="thin">
        <color indexed="64"/>
      </bottom>
      <diagonal/>
    </border>
    <border>
      <left style="thin">
        <color indexed="64"/>
      </left>
      <right style="thin">
        <color indexed="64"/>
      </right>
      <top style="double">
        <color theme="0"/>
      </top>
      <bottom style="double">
        <color theme="0"/>
      </bottom>
      <diagonal/>
    </border>
    <border>
      <left style="thin">
        <color indexed="64"/>
      </left>
      <right style="double">
        <color theme="1"/>
      </right>
      <top style="double">
        <color theme="0"/>
      </top>
      <bottom style="double">
        <color theme="0"/>
      </bottom>
      <diagonal/>
    </border>
    <border>
      <left/>
      <right style="double">
        <color theme="1"/>
      </right>
      <top style="thin">
        <color indexed="64"/>
      </top>
      <bottom style="thin">
        <color indexed="64"/>
      </bottom>
      <diagonal/>
    </border>
    <border>
      <left style="double">
        <color theme="1"/>
      </left>
      <right/>
      <top/>
      <bottom style="thin">
        <color indexed="64"/>
      </bottom>
      <diagonal/>
    </border>
    <border>
      <left style="double">
        <color theme="1"/>
      </left>
      <right style="thin">
        <color indexed="64"/>
      </right>
      <top/>
      <bottom style="thin">
        <color indexed="64"/>
      </bottom>
      <diagonal/>
    </border>
    <border>
      <left style="double">
        <color theme="1"/>
      </left>
      <right style="thin">
        <color indexed="64"/>
      </right>
      <top style="thin">
        <color indexed="64"/>
      </top>
      <bottom style="thin">
        <color indexed="64"/>
      </bottom>
      <diagonal/>
    </border>
    <border>
      <left style="double">
        <color theme="1"/>
      </left>
      <right style="thin">
        <color indexed="64"/>
      </right>
      <top style="thin">
        <color indexed="64"/>
      </top>
      <bottom style="double">
        <color theme="1"/>
      </bottom>
      <diagonal/>
    </border>
    <border>
      <left style="thin">
        <color indexed="64"/>
      </left>
      <right style="thin">
        <color indexed="64"/>
      </right>
      <top style="thin">
        <color indexed="64"/>
      </top>
      <bottom style="double">
        <color theme="1"/>
      </bottom>
      <diagonal/>
    </border>
    <border>
      <left style="thin">
        <color indexed="64"/>
      </left>
      <right style="double">
        <color theme="1"/>
      </right>
      <top style="thin">
        <color indexed="64"/>
      </top>
      <bottom style="double">
        <color theme="1"/>
      </bottom>
      <diagonal/>
    </border>
    <border>
      <left style="double">
        <color theme="0"/>
      </left>
      <right/>
      <top style="double">
        <color theme="0"/>
      </top>
      <bottom style="double">
        <color auto="1"/>
      </bottom>
      <diagonal/>
    </border>
    <border>
      <left/>
      <right/>
      <top style="double">
        <color theme="0"/>
      </top>
      <bottom style="double">
        <color auto="1"/>
      </bottom>
      <diagonal/>
    </border>
    <border>
      <left/>
      <right style="double">
        <color theme="0"/>
      </right>
      <top style="double">
        <color theme="0"/>
      </top>
      <bottom style="double">
        <color auto="1"/>
      </bottom>
      <diagonal/>
    </border>
    <border>
      <left style="double">
        <color theme="0"/>
      </left>
      <right style="double">
        <color theme="0"/>
      </right>
      <top/>
      <bottom style="double">
        <color theme="0"/>
      </bottom>
      <diagonal/>
    </border>
    <border>
      <left style="double">
        <color theme="0"/>
      </left>
      <right style="double">
        <color theme="0"/>
      </right>
      <top style="double">
        <color theme="0"/>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style="thin">
        <color indexed="64"/>
      </top>
      <bottom style="medium">
        <color indexed="64"/>
      </bottom>
      <diagonal/>
    </border>
    <border>
      <left style="thin">
        <color indexed="64"/>
      </left>
      <right/>
      <top/>
      <bottom/>
      <diagonal/>
    </border>
    <border>
      <left/>
      <right style="thin">
        <color indexed="64"/>
      </right>
      <top/>
      <bottom/>
      <diagonal/>
    </border>
    <border>
      <left style="thin">
        <color indexed="64"/>
      </left>
      <right/>
      <top style="thin">
        <color indexed="64"/>
      </top>
      <bottom style="thin">
        <color indexed="64"/>
      </bottom>
      <diagonal/>
    </border>
  </borders>
  <cellStyleXfs count="3">
    <xf numFmtId="0" fontId="0" fillId="0" borderId="0"/>
    <xf numFmtId="44" fontId="1" fillId="0" borderId="0" applyFont="0" applyFill="0" applyBorder="0" applyAlignment="0" applyProtection="0"/>
    <xf numFmtId="9" fontId="1" fillId="0" borderId="0" applyFont="0" applyFill="0" applyBorder="0" applyAlignment="0" applyProtection="0"/>
  </cellStyleXfs>
  <cellXfs count="350">
    <xf numFmtId="0" fontId="0" fillId="0" borderId="0" xfId="0"/>
    <xf numFmtId="0" fontId="0" fillId="4" borderId="0" xfId="0" applyFill="1"/>
    <xf numFmtId="0" fontId="0" fillId="6" borderId="25" xfId="0" applyFill="1" applyBorder="1"/>
    <xf numFmtId="0" fontId="12" fillId="4" borderId="31" xfId="0" applyFont="1" applyFill="1" applyBorder="1" applyAlignment="1">
      <alignment horizontal="center" vertical="center"/>
    </xf>
    <xf numFmtId="0" fontId="12" fillId="4" borderId="28" xfId="0" applyFont="1" applyFill="1" applyBorder="1" applyAlignment="1">
      <alignment horizontal="center" vertical="center"/>
    </xf>
    <xf numFmtId="0" fontId="11" fillId="4" borderId="80" xfId="0" applyFont="1" applyFill="1" applyBorder="1" applyAlignment="1">
      <alignment horizontal="center" vertical="center"/>
    </xf>
    <xf numFmtId="0" fontId="12" fillId="4" borderId="81" xfId="0" applyFont="1" applyFill="1" applyBorder="1" applyAlignment="1">
      <alignment horizontal="center" vertical="center"/>
    </xf>
    <xf numFmtId="0" fontId="11" fillId="4" borderId="77" xfId="0" applyFont="1" applyFill="1" applyBorder="1" applyAlignment="1">
      <alignment horizontal="center" vertical="center"/>
    </xf>
    <xf numFmtId="0" fontId="11" fillId="4" borderId="86" xfId="0" applyFont="1" applyFill="1" applyBorder="1" applyAlignment="1">
      <alignment horizontal="center" vertical="center"/>
    </xf>
    <xf numFmtId="0" fontId="13" fillId="5" borderId="89" xfId="0" applyFont="1" applyFill="1" applyBorder="1" applyAlignment="1">
      <alignment horizontal="center" vertical="center"/>
    </xf>
    <xf numFmtId="0" fontId="11" fillId="2" borderId="0" xfId="0" applyFont="1" applyFill="1"/>
    <xf numFmtId="0" fontId="14" fillId="0" borderId="0" xfId="0" applyFont="1"/>
    <xf numFmtId="0" fontId="14" fillId="10" borderId="92" xfId="0" applyFont="1" applyFill="1" applyBorder="1"/>
    <xf numFmtId="0" fontId="14" fillId="10" borderId="93" xfId="0" applyFont="1" applyFill="1" applyBorder="1"/>
    <xf numFmtId="0" fontId="14" fillId="10" borderId="94" xfId="0" applyFont="1" applyFill="1" applyBorder="1"/>
    <xf numFmtId="0" fontId="14" fillId="10" borderId="92" xfId="0" applyFont="1" applyFill="1" applyBorder="1" applyAlignment="1"/>
    <xf numFmtId="0" fontId="14" fillId="10" borderId="93" xfId="0" applyFont="1" applyFill="1" applyBorder="1" applyAlignment="1"/>
    <xf numFmtId="0" fontId="14" fillId="10" borderId="28" xfId="0" applyFont="1" applyFill="1" applyBorder="1"/>
    <xf numFmtId="44" fontId="14" fillId="10" borderId="96" xfId="1" applyFont="1" applyFill="1" applyBorder="1"/>
    <xf numFmtId="44" fontId="14" fillId="10" borderId="94" xfId="1" applyFont="1" applyFill="1" applyBorder="1"/>
    <xf numFmtId="44" fontId="16" fillId="10" borderId="0" xfId="1" applyFont="1" applyFill="1" applyBorder="1"/>
    <xf numFmtId="0" fontId="14" fillId="10" borderId="98" xfId="0" applyFont="1" applyFill="1" applyBorder="1"/>
    <xf numFmtId="44" fontId="16" fillId="10" borderId="94" xfId="1" applyFont="1" applyFill="1" applyBorder="1"/>
    <xf numFmtId="0" fontId="14" fillId="10" borderId="92" xfId="0" applyFont="1" applyFill="1" applyBorder="1" applyAlignment="1">
      <alignment horizontal="left"/>
    </xf>
    <xf numFmtId="0" fontId="14" fillId="10" borderId="93" xfId="0" applyFont="1" applyFill="1" applyBorder="1" applyAlignment="1">
      <alignment horizontal="left"/>
    </xf>
    <xf numFmtId="44" fontId="14" fillId="10" borderId="93" xfId="1" applyFont="1" applyFill="1" applyBorder="1"/>
    <xf numFmtId="0" fontId="14" fillId="10" borderId="99" xfId="0" applyFont="1" applyFill="1" applyBorder="1"/>
    <xf numFmtId="0" fontId="14" fillId="10" borderId="32" xfId="0" applyFont="1" applyFill="1" applyBorder="1"/>
    <xf numFmtId="44" fontId="14" fillId="10" borderId="20" xfId="1" applyFont="1" applyFill="1" applyBorder="1"/>
    <xf numFmtId="0" fontId="14" fillId="10" borderId="20" xfId="0" applyFont="1" applyFill="1" applyBorder="1"/>
    <xf numFmtId="44" fontId="14" fillId="10" borderId="0" xfId="1" applyFont="1" applyFill="1" applyBorder="1"/>
    <xf numFmtId="44" fontId="14" fillId="10" borderId="98" xfId="0" applyNumberFormat="1" applyFont="1" applyFill="1" applyBorder="1"/>
    <xf numFmtId="44" fontId="14" fillId="10" borderId="98" xfId="1" applyFont="1" applyFill="1" applyBorder="1"/>
    <xf numFmtId="0" fontId="14" fillId="10" borderId="97" xfId="0" applyFont="1" applyFill="1" applyBorder="1"/>
    <xf numFmtId="0" fontId="14" fillId="10" borderId="0" xfId="0" applyFont="1" applyFill="1" applyBorder="1"/>
    <xf numFmtId="44" fontId="16" fillId="10" borderId="93" xfId="1" applyFont="1" applyFill="1" applyBorder="1"/>
    <xf numFmtId="44" fontId="16" fillId="10" borderId="94" xfId="0" applyNumberFormat="1" applyFont="1" applyFill="1" applyBorder="1"/>
    <xf numFmtId="0" fontId="14" fillId="10" borderId="99" xfId="0" applyFont="1" applyFill="1" applyBorder="1" applyAlignment="1">
      <alignment horizontal="left"/>
    </xf>
    <xf numFmtId="0" fontId="14" fillId="10" borderId="32" xfId="0" applyFont="1" applyFill="1" applyBorder="1" applyAlignment="1">
      <alignment horizontal="left"/>
    </xf>
    <xf numFmtId="44" fontId="14" fillId="10" borderId="32" xfId="1" applyFont="1" applyFill="1" applyBorder="1"/>
    <xf numFmtId="44" fontId="15" fillId="10" borderId="31" xfId="1" applyFont="1" applyFill="1" applyBorder="1"/>
    <xf numFmtId="0" fontId="15" fillId="10" borderId="95" xfId="0" applyFont="1" applyFill="1" applyBorder="1"/>
    <xf numFmtId="44" fontId="15" fillId="10" borderId="28" xfId="0" applyNumberFormat="1" applyFont="1" applyFill="1" applyBorder="1"/>
    <xf numFmtId="0" fontId="14" fillId="2" borderId="0" xfId="0" applyFont="1" applyFill="1"/>
    <xf numFmtId="0" fontId="0" fillId="0" borderId="0" xfId="0" applyFill="1"/>
    <xf numFmtId="0" fontId="0" fillId="11" borderId="0" xfId="0" applyFill="1"/>
    <xf numFmtId="2" fontId="14" fillId="15" borderId="65" xfId="0" applyNumberFormat="1" applyFont="1" applyFill="1" applyBorder="1" applyAlignment="1">
      <alignment vertical="center"/>
    </xf>
    <xf numFmtId="10" fontId="14" fillId="15" borderId="66" xfId="0" applyNumberFormat="1" applyFont="1" applyFill="1" applyBorder="1" applyAlignment="1">
      <alignment horizontal="center" vertical="center"/>
    </xf>
    <xf numFmtId="164" fontId="14" fillId="15" borderId="66" xfId="0" applyNumberFormat="1" applyFont="1" applyFill="1" applyBorder="1" applyAlignment="1">
      <alignment vertical="center"/>
    </xf>
    <xf numFmtId="10" fontId="14" fillId="15" borderId="67" xfId="0" applyNumberFormat="1" applyFont="1" applyFill="1" applyBorder="1" applyAlignment="1">
      <alignment horizontal="center" vertical="center"/>
    </xf>
    <xf numFmtId="164" fontId="14" fillId="15" borderId="65" xfId="0" applyNumberFormat="1" applyFont="1" applyFill="1" applyBorder="1" applyAlignment="1">
      <alignment vertical="center"/>
    </xf>
    <xf numFmtId="10" fontId="14" fillId="15" borderId="75" xfId="0" applyNumberFormat="1" applyFont="1" applyFill="1" applyBorder="1" applyAlignment="1">
      <alignment horizontal="center" vertical="center"/>
    </xf>
    <xf numFmtId="1" fontId="14" fillId="15" borderId="53" xfId="1" applyNumberFormat="1" applyFont="1" applyFill="1" applyBorder="1" applyAlignment="1">
      <alignment horizontal="center" vertical="center"/>
    </xf>
    <xf numFmtId="164" fontId="14" fillId="15" borderId="52" xfId="1" applyNumberFormat="1" applyFont="1" applyFill="1" applyBorder="1" applyAlignment="1">
      <alignment horizontal="right" vertical="center"/>
    </xf>
    <xf numFmtId="44" fontId="14" fillId="15" borderId="66" xfId="1" applyFont="1" applyFill="1" applyBorder="1" applyAlignment="1">
      <alignment horizontal="right" vertical="center"/>
    </xf>
    <xf numFmtId="2" fontId="14" fillId="15" borderId="52" xfId="1" applyNumberFormat="1" applyFont="1" applyFill="1" applyBorder="1" applyAlignment="1">
      <alignment horizontal="center" vertical="center"/>
    </xf>
    <xf numFmtId="44" fontId="14" fillId="15" borderId="51" xfId="1" applyFont="1" applyFill="1" applyBorder="1" applyAlignment="1">
      <alignment horizontal="right" vertical="center"/>
    </xf>
    <xf numFmtId="0" fontId="14" fillId="16" borderId="25" xfId="0" applyFont="1" applyFill="1" applyBorder="1"/>
    <xf numFmtId="0" fontId="11" fillId="2" borderId="0" xfId="0" applyFont="1" applyFill="1" applyAlignment="1"/>
    <xf numFmtId="0" fontId="18" fillId="2" borderId="38" xfId="0" applyFont="1" applyFill="1" applyBorder="1" applyAlignment="1">
      <alignment horizontal="center" vertical="center"/>
    </xf>
    <xf numFmtId="0" fontId="18" fillId="2" borderId="39" xfId="0" applyFont="1" applyFill="1" applyBorder="1" applyAlignment="1">
      <alignment horizontal="center" vertical="center"/>
    </xf>
    <xf numFmtId="0" fontId="18" fillId="2" borderId="40" xfId="0" applyFont="1" applyFill="1" applyBorder="1" applyAlignment="1">
      <alignment horizontal="center" vertical="center"/>
    </xf>
    <xf numFmtId="164" fontId="12" fillId="2" borderId="20" xfId="0" applyNumberFormat="1" applyFont="1" applyFill="1" applyBorder="1" applyAlignment="1">
      <alignment horizontal="right" vertical="center"/>
    </xf>
    <xf numFmtId="164" fontId="12" fillId="2" borderId="1" xfId="0" applyNumberFormat="1" applyFont="1" applyFill="1" applyBorder="1" applyAlignment="1">
      <alignment horizontal="right" vertical="center"/>
    </xf>
    <xf numFmtId="164" fontId="12" fillId="2" borderId="15" xfId="0" applyNumberFormat="1" applyFont="1" applyFill="1" applyBorder="1" applyAlignment="1">
      <alignment horizontal="right" vertical="center"/>
    </xf>
    <xf numFmtId="9" fontId="11" fillId="2" borderId="0" xfId="0" applyNumberFormat="1" applyFont="1" applyFill="1"/>
    <xf numFmtId="164" fontId="12" fillId="2" borderId="26" xfId="0" applyNumberFormat="1" applyFont="1" applyFill="1" applyBorder="1" applyAlignment="1">
      <alignment horizontal="right" vertical="center"/>
    </xf>
    <xf numFmtId="164" fontId="12" fillId="2" borderId="3" xfId="0" applyNumberFormat="1" applyFont="1" applyFill="1" applyBorder="1" applyAlignment="1">
      <alignment horizontal="right" vertical="center"/>
    </xf>
    <xf numFmtId="164" fontId="12" fillId="2" borderId="17" xfId="0" applyNumberFormat="1" applyFont="1" applyFill="1" applyBorder="1" applyAlignment="1">
      <alignment horizontal="right" vertical="center"/>
    </xf>
    <xf numFmtId="2" fontId="11" fillId="2" borderId="0" xfId="0" applyNumberFormat="1" applyFont="1" applyFill="1"/>
    <xf numFmtId="0" fontId="15" fillId="2" borderId="0" xfId="0" applyFont="1" applyFill="1"/>
    <xf numFmtId="0" fontId="15" fillId="2" borderId="0" xfId="0" applyFont="1" applyFill="1" applyAlignment="1"/>
    <xf numFmtId="0" fontId="15" fillId="13" borderId="38" xfId="0" applyFont="1" applyFill="1" applyBorder="1" applyAlignment="1">
      <alignment horizontal="center" vertical="center"/>
    </xf>
    <xf numFmtId="0" fontId="15" fillId="13" borderId="39" xfId="0" applyFont="1" applyFill="1" applyBorder="1" applyAlignment="1">
      <alignment horizontal="center" vertical="center"/>
    </xf>
    <xf numFmtId="0" fontId="15" fillId="13" borderId="40" xfId="0" applyFont="1" applyFill="1" applyBorder="1" applyAlignment="1">
      <alignment horizontal="center" vertical="center"/>
    </xf>
    <xf numFmtId="2" fontId="15" fillId="4" borderId="28" xfId="0" applyNumberFormat="1" applyFont="1" applyFill="1" applyBorder="1" applyAlignment="1">
      <alignment vertical="center"/>
    </xf>
    <xf numFmtId="2" fontId="15" fillId="4" borderId="2" xfId="0" applyNumberFormat="1" applyFont="1" applyFill="1" applyBorder="1" applyAlignment="1">
      <alignment vertical="center"/>
    </xf>
    <xf numFmtId="2" fontId="15" fillId="4" borderId="27" xfId="0" applyNumberFormat="1" applyFont="1" applyFill="1" applyBorder="1" applyAlignment="1">
      <alignment vertical="center"/>
    </xf>
    <xf numFmtId="164" fontId="15" fillId="4" borderId="20" xfId="0" applyNumberFormat="1" applyFont="1" applyFill="1" applyBorder="1" applyAlignment="1">
      <alignment horizontal="right" vertical="center"/>
    </xf>
    <xf numFmtId="164" fontId="15" fillId="4" borderId="1" xfId="0" applyNumberFormat="1" applyFont="1" applyFill="1" applyBorder="1" applyAlignment="1">
      <alignment horizontal="right" vertical="center"/>
    </xf>
    <xf numFmtId="164" fontId="15" fillId="4" borderId="15" xfId="0" applyNumberFormat="1" applyFont="1" applyFill="1" applyBorder="1" applyAlignment="1">
      <alignment horizontal="right" vertical="center"/>
    </xf>
    <xf numFmtId="44" fontId="15" fillId="4" borderId="20" xfId="0" applyNumberFormat="1" applyFont="1" applyFill="1" applyBorder="1" applyAlignment="1">
      <alignment horizontal="right" vertical="center"/>
    </xf>
    <xf numFmtId="44" fontId="15" fillId="4" borderId="1" xfId="0" applyNumberFormat="1" applyFont="1" applyFill="1" applyBorder="1" applyAlignment="1">
      <alignment horizontal="right" vertical="center"/>
    </xf>
    <xf numFmtId="44" fontId="15" fillId="4" borderId="1" xfId="1" applyFont="1" applyFill="1" applyBorder="1" applyAlignment="1">
      <alignment horizontal="right" vertical="center"/>
    </xf>
    <xf numFmtId="44" fontId="15" fillId="4" borderId="15" xfId="1" applyFont="1" applyFill="1" applyBorder="1" applyAlignment="1">
      <alignment horizontal="right" vertical="center"/>
    </xf>
    <xf numFmtId="44" fontId="15" fillId="4" borderId="15" xfId="0" applyNumberFormat="1" applyFont="1" applyFill="1" applyBorder="1" applyAlignment="1">
      <alignment horizontal="right" vertical="center"/>
    </xf>
    <xf numFmtId="9" fontId="15" fillId="2" borderId="0" xfId="0" applyNumberFormat="1" applyFont="1" applyFill="1"/>
    <xf numFmtId="164" fontId="15" fillId="4" borderId="26" xfId="0" applyNumberFormat="1" applyFont="1" applyFill="1" applyBorder="1" applyAlignment="1">
      <alignment horizontal="right" vertical="center"/>
    </xf>
    <xf numFmtId="164" fontId="15" fillId="4" borderId="3" xfId="0" applyNumberFormat="1" applyFont="1" applyFill="1" applyBorder="1" applyAlignment="1">
      <alignment horizontal="right" vertical="center"/>
    </xf>
    <xf numFmtId="164" fontId="15" fillId="4" borderId="17" xfId="0" applyNumberFormat="1" applyFont="1" applyFill="1" applyBorder="1" applyAlignment="1">
      <alignment horizontal="right" vertical="center"/>
    </xf>
    <xf numFmtId="2" fontId="15" fillId="2" borderId="0" xfId="0" applyNumberFormat="1" applyFont="1" applyFill="1"/>
    <xf numFmtId="164" fontId="12" fillId="2" borderId="12" xfId="0" applyNumberFormat="1" applyFont="1" applyFill="1" applyBorder="1" applyAlignment="1">
      <alignment horizontal="center" vertical="center"/>
    </xf>
    <xf numFmtId="164" fontId="12" fillId="2" borderId="68" xfId="0" applyNumberFormat="1" applyFont="1" applyFill="1" applyBorder="1" applyAlignment="1">
      <alignment horizontal="center" vertical="center"/>
    </xf>
    <xf numFmtId="164" fontId="12" fillId="2" borderId="69" xfId="0" applyNumberFormat="1" applyFont="1" applyFill="1" applyBorder="1" applyAlignment="1">
      <alignment horizontal="center" vertical="center"/>
    </xf>
    <xf numFmtId="164" fontId="12" fillId="2" borderId="14" xfId="0" applyNumberFormat="1" applyFont="1" applyFill="1" applyBorder="1" applyAlignment="1">
      <alignment horizontal="center" vertical="center"/>
    </xf>
    <xf numFmtId="164" fontId="12" fillId="2" borderId="1" xfId="0" applyNumberFormat="1" applyFont="1" applyFill="1" applyBorder="1" applyAlignment="1">
      <alignment horizontal="center" vertical="center"/>
    </xf>
    <xf numFmtId="164" fontId="12" fillId="2" borderId="15" xfId="0" applyNumberFormat="1" applyFont="1" applyFill="1" applyBorder="1" applyAlignment="1">
      <alignment horizontal="center" vertical="center"/>
    </xf>
    <xf numFmtId="164" fontId="12" fillId="2" borderId="16" xfId="0" applyNumberFormat="1" applyFont="1" applyFill="1" applyBorder="1" applyAlignment="1">
      <alignment horizontal="center" vertical="center"/>
    </xf>
    <xf numFmtId="164" fontId="12" fillId="2" borderId="3" xfId="0" applyNumberFormat="1" applyFont="1" applyFill="1" applyBorder="1" applyAlignment="1">
      <alignment horizontal="center" vertical="center"/>
    </xf>
    <xf numFmtId="164" fontId="12" fillId="2" borderId="17" xfId="0" applyNumberFormat="1" applyFont="1" applyFill="1" applyBorder="1" applyAlignment="1">
      <alignment horizontal="center" vertical="center"/>
    </xf>
    <xf numFmtId="0" fontId="11" fillId="2" borderId="0" xfId="0" applyFont="1" applyFill="1" applyAlignment="1">
      <alignment horizontal="center" vertical="center"/>
    </xf>
    <xf numFmtId="0" fontId="11" fillId="9" borderId="0" xfId="0" applyFont="1" applyFill="1" applyAlignment="1">
      <alignment horizontal="center" vertical="center"/>
    </xf>
    <xf numFmtId="0" fontId="18" fillId="9" borderId="38" xfId="0" applyFont="1" applyFill="1" applyBorder="1" applyAlignment="1">
      <alignment horizontal="center" vertical="center"/>
    </xf>
    <xf numFmtId="0" fontId="18" fillId="9" borderId="39" xfId="0" applyFont="1" applyFill="1" applyBorder="1" applyAlignment="1">
      <alignment horizontal="center" vertical="center"/>
    </xf>
    <xf numFmtId="0" fontId="18" fillId="9" borderId="40" xfId="0" applyFont="1" applyFill="1" applyBorder="1" applyAlignment="1">
      <alignment horizontal="center" vertical="center"/>
    </xf>
    <xf numFmtId="0" fontId="26" fillId="9" borderId="38" xfId="0" applyFont="1" applyFill="1" applyBorder="1" applyAlignment="1">
      <alignment horizontal="center" vertical="center"/>
    </xf>
    <xf numFmtId="0" fontId="26" fillId="9" borderId="39" xfId="0" applyFont="1" applyFill="1" applyBorder="1" applyAlignment="1">
      <alignment horizontal="center" vertical="center"/>
    </xf>
    <xf numFmtId="0" fontId="26" fillId="9" borderId="40" xfId="0" applyFont="1" applyFill="1" applyBorder="1" applyAlignment="1">
      <alignment horizontal="center" vertical="center"/>
    </xf>
    <xf numFmtId="164" fontId="12" fillId="18" borderId="12" xfId="0" applyNumberFormat="1" applyFont="1" applyFill="1" applyBorder="1" applyAlignment="1">
      <alignment horizontal="center" vertical="center"/>
    </xf>
    <xf numFmtId="164" fontId="12" fillId="18" borderId="18" xfId="0" applyNumberFormat="1" applyFont="1" applyFill="1" applyBorder="1" applyAlignment="1">
      <alignment horizontal="center" vertical="center"/>
    </xf>
    <xf numFmtId="164" fontId="12" fillId="18" borderId="13" xfId="0" applyNumberFormat="1" applyFont="1" applyFill="1" applyBorder="1" applyAlignment="1">
      <alignment horizontal="center" vertical="center"/>
    </xf>
    <xf numFmtId="164" fontId="12" fillId="18" borderId="14" xfId="0" applyNumberFormat="1" applyFont="1" applyFill="1" applyBorder="1" applyAlignment="1">
      <alignment horizontal="center" vertical="center"/>
    </xf>
    <xf numFmtId="164" fontId="12" fillId="18" borderId="1" xfId="0" applyNumberFormat="1" applyFont="1" applyFill="1" applyBorder="1" applyAlignment="1">
      <alignment horizontal="center" vertical="center"/>
    </xf>
    <xf numFmtId="164" fontId="12" fillId="18" borderId="15" xfId="0" applyNumberFormat="1" applyFont="1" applyFill="1" applyBorder="1" applyAlignment="1">
      <alignment horizontal="center" vertical="center"/>
    </xf>
    <xf numFmtId="164" fontId="12" fillId="18" borderId="16" xfId="0" applyNumberFormat="1" applyFont="1" applyFill="1" applyBorder="1" applyAlignment="1">
      <alignment horizontal="center" vertical="center"/>
    </xf>
    <xf numFmtId="164" fontId="12" fillId="18" borderId="3" xfId="0" applyNumberFormat="1" applyFont="1" applyFill="1" applyBorder="1" applyAlignment="1">
      <alignment horizontal="center" vertical="center"/>
    </xf>
    <xf numFmtId="164" fontId="12" fillId="18" borderId="17" xfId="0" applyNumberFormat="1" applyFont="1" applyFill="1" applyBorder="1" applyAlignment="1">
      <alignment horizontal="center" vertical="center"/>
    </xf>
    <xf numFmtId="164" fontId="12" fillId="4" borderId="49" xfId="0" applyNumberFormat="1" applyFont="1" applyFill="1" applyBorder="1" applyAlignment="1">
      <alignment vertical="center"/>
    </xf>
    <xf numFmtId="0" fontId="12" fillId="4" borderId="53" xfId="0" applyFont="1" applyFill="1" applyBorder="1" applyAlignment="1">
      <alignment horizontal="center" vertical="center"/>
    </xf>
    <xf numFmtId="164" fontId="12" fillId="4" borderId="51" xfId="0" applyNumberFormat="1" applyFont="1" applyFill="1" applyBorder="1" applyAlignment="1">
      <alignment vertical="center"/>
    </xf>
    <xf numFmtId="164" fontId="12" fillId="4" borderId="49" xfId="0" applyNumberFormat="1" applyFont="1" applyFill="1" applyBorder="1"/>
    <xf numFmtId="164" fontId="12" fillId="4" borderId="52" xfId="0" applyNumberFormat="1" applyFont="1" applyFill="1" applyBorder="1"/>
    <xf numFmtId="164" fontId="12" fillId="4" borderId="51" xfId="0" applyNumberFormat="1" applyFont="1" applyFill="1" applyBorder="1"/>
    <xf numFmtId="0" fontId="11" fillId="16" borderId="25" xfId="0" applyFont="1" applyFill="1" applyBorder="1" applyAlignment="1">
      <alignment horizontal="center" vertical="center"/>
    </xf>
    <xf numFmtId="0" fontId="0" fillId="16" borderId="25" xfId="0" applyFill="1" applyBorder="1"/>
    <xf numFmtId="0" fontId="11" fillId="16" borderId="25" xfId="0" applyFont="1" applyFill="1" applyBorder="1"/>
    <xf numFmtId="0" fontId="11" fillId="2" borderId="0" xfId="0" applyFont="1" applyFill="1" applyBorder="1"/>
    <xf numFmtId="0" fontId="12" fillId="2" borderId="0" xfId="0" applyFont="1" applyFill="1"/>
    <xf numFmtId="0" fontId="18" fillId="2" borderId="42" xfId="0" applyFont="1" applyFill="1" applyBorder="1" applyAlignment="1">
      <alignment horizontal="center" vertical="center"/>
    </xf>
    <xf numFmtId="0" fontId="11" fillId="2" borderId="0" xfId="0" applyFont="1" applyFill="1" applyBorder="1" applyAlignment="1">
      <alignment horizontal="center"/>
    </xf>
    <xf numFmtId="0" fontId="11" fillId="2" borderId="31" xfId="0" applyFont="1" applyFill="1" applyBorder="1" applyAlignment="1">
      <alignment horizontal="center"/>
    </xf>
    <xf numFmtId="0" fontId="29" fillId="2" borderId="0" xfId="0" applyFont="1" applyFill="1"/>
    <xf numFmtId="0" fontId="12" fillId="9" borderId="0" xfId="0" applyFont="1" applyFill="1"/>
    <xf numFmtId="0" fontId="18" fillId="9" borderId="34" xfId="0" applyFont="1" applyFill="1" applyBorder="1" applyAlignment="1">
      <alignment horizontal="center" vertical="center"/>
    </xf>
    <xf numFmtId="0" fontId="11" fillId="9" borderId="28" xfId="0" applyFont="1" applyFill="1" applyBorder="1"/>
    <xf numFmtId="0" fontId="18" fillId="12" borderId="42" xfId="0" applyFont="1" applyFill="1" applyBorder="1" applyAlignment="1">
      <alignment horizontal="center" vertical="center"/>
    </xf>
    <xf numFmtId="164" fontId="12" fillId="12" borderId="44" xfId="0" applyNumberFormat="1" applyFont="1" applyFill="1" applyBorder="1"/>
    <xf numFmtId="164" fontId="12" fillId="12" borderId="45" xfId="0" applyNumberFormat="1" applyFont="1" applyFill="1" applyBorder="1"/>
    <xf numFmtId="164" fontId="12" fillId="12" borderId="30" xfId="0" applyNumberFormat="1" applyFont="1" applyFill="1" applyBorder="1"/>
    <xf numFmtId="0" fontId="19" fillId="2" borderId="0" xfId="0" applyFont="1" applyFill="1" applyAlignment="1"/>
    <xf numFmtId="0" fontId="19" fillId="2" borderId="0" xfId="0" applyFont="1" applyFill="1"/>
    <xf numFmtId="0" fontId="18" fillId="2" borderId="0" xfId="0" applyFont="1" applyFill="1" applyBorder="1" applyAlignment="1">
      <alignment horizontal="center" vertical="center"/>
    </xf>
    <xf numFmtId="44" fontId="19" fillId="2" borderId="0" xfId="0" applyNumberFormat="1" applyFont="1" applyFill="1" applyBorder="1" applyAlignment="1">
      <alignment horizontal="center" vertical="center"/>
    </xf>
    <xf numFmtId="0" fontId="30" fillId="2" borderId="0" xfId="0" applyFont="1" applyFill="1" applyBorder="1" applyAlignment="1">
      <alignment horizontal="center" vertical="center"/>
    </xf>
    <xf numFmtId="0" fontId="19" fillId="2" borderId="0" xfId="0" applyFont="1" applyFill="1" applyBorder="1" applyAlignment="1"/>
    <xf numFmtId="2" fontId="11" fillId="2" borderId="0" xfId="0" applyNumberFormat="1" applyFont="1" applyFill="1" applyBorder="1"/>
    <xf numFmtId="44" fontId="19" fillId="2" borderId="0" xfId="1" applyFont="1" applyFill="1"/>
    <xf numFmtId="2" fontId="19" fillId="2" borderId="0" xfId="0" applyNumberFormat="1" applyFont="1" applyFill="1"/>
    <xf numFmtId="0" fontId="18" fillId="19" borderId="42" xfId="0" applyFont="1" applyFill="1" applyBorder="1" applyAlignment="1">
      <alignment horizontal="center" vertical="center"/>
    </xf>
    <xf numFmtId="0" fontId="19" fillId="19" borderId="0" xfId="0" applyFont="1" applyFill="1" applyBorder="1"/>
    <xf numFmtId="44" fontId="19" fillId="10" borderId="49" xfId="1" applyFont="1" applyFill="1" applyBorder="1" applyAlignment="1">
      <alignment horizontal="center" vertical="center"/>
    </xf>
    <xf numFmtId="44" fontId="19" fillId="10" borderId="53" xfId="1" applyFont="1" applyFill="1" applyBorder="1" applyAlignment="1">
      <alignment horizontal="center" vertical="center"/>
    </xf>
    <xf numFmtId="44" fontId="19" fillId="10" borderId="51" xfId="1" applyFont="1" applyFill="1" applyBorder="1" applyAlignment="1">
      <alignment horizontal="center" vertical="center"/>
    </xf>
    <xf numFmtId="44" fontId="19" fillId="10" borderId="0" xfId="1" applyFont="1" applyFill="1" applyBorder="1"/>
    <xf numFmtId="44" fontId="19" fillId="10" borderId="24" xfId="0" applyNumberFormat="1" applyFont="1" applyFill="1" applyBorder="1" applyAlignment="1">
      <alignment horizontal="center" vertical="center"/>
    </xf>
    <xf numFmtId="164" fontId="12" fillId="10" borderId="29" xfId="0" applyNumberFormat="1" applyFont="1" applyFill="1" applyBorder="1" applyAlignment="1">
      <alignment horizontal="center" vertical="center"/>
    </xf>
    <xf numFmtId="164" fontId="12" fillId="10" borderId="45" xfId="0" applyNumberFormat="1" applyFont="1" applyFill="1" applyBorder="1" applyAlignment="1">
      <alignment horizontal="center" vertical="center"/>
    </xf>
    <xf numFmtId="164" fontId="12" fillId="10" borderId="30" xfId="0" applyNumberFormat="1" applyFont="1" applyFill="1" applyBorder="1" applyAlignment="1">
      <alignment horizontal="center" vertical="center"/>
    </xf>
    <xf numFmtId="164" fontId="12" fillId="10" borderId="1" xfId="0" applyNumberFormat="1" applyFont="1" applyFill="1" applyBorder="1"/>
    <xf numFmtId="164" fontId="12" fillId="10" borderId="15" xfId="0" applyNumberFormat="1" applyFont="1" applyFill="1" applyBorder="1"/>
    <xf numFmtId="164" fontId="12" fillId="10" borderId="3" xfId="0" applyNumberFormat="1" applyFont="1" applyFill="1" applyBorder="1" applyAlignment="1">
      <alignment horizontal="right"/>
    </xf>
    <xf numFmtId="164" fontId="12" fillId="10" borderId="3" xfId="0" applyNumberFormat="1" applyFont="1" applyFill="1" applyBorder="1"/>
    <xf numFmtId="164" fontId="12" fillId="10" borderId="17" xfId="0" applyNumberFormat="1" applyFont="1" applyFill="1" applyBorder="1" applyAlignment="1">
      <alignment horizontal="right"/>
    </xf>
    <xf numFmtId="164" fontId="19" fillId="10" borderId="21" xfId="0" applyNumberFormat="1" applyFont="1" applyFill="1" applyBorder="1" applyAlignment="1">
      <alignment vertical="center"/>
    </xf>
    <xf numFmtId="164" fontId="19" fillId="10" borderId="22" xfId="0" applyNumberFormat="1" applyFont="1" applyFill="1" applyBorder="1" applyAlignment="1">
      <alignment vertical="center"/>
    </xf>
    <xf numFmtId="164" fontId="19" fillId="10" borderId="21" xfId="0" applyNumberFormat="1" applyFont="1" applyFill="1" applyBorder="1"/>
    <xf numFmtId="164" fontId="19" fillId="10" borderId="3" xfId="0" applyNumberFormat="1" applyFont="1" applyFill="1" applyBorder="1"/>
    <xf numFmtId="0" fontId="18" fillId="19" borderId="38" xfId="0" applyFont="1" applyFill="1" applyBorder="1" applyAlignment="1">
      <alignment horizontal="center" vertical="center"/>
    </xf>
    <xf numFmtId="0" fontId="18" fillId="19" borderId="39" xfId="0" applyFont="1" applyFill="1" applyBorder="1" applyAlignment="1">
      <alignment horizontal="center" vertical="center"/>
    </xf>
    <xf numFmtId="0" fontId="18" fillId="19" borderId="40" xfId="0" applyFont="1" applyFill="1" applyBorder="1" applyAlignment="1">
      <alignment horizontal="center" vertical="center"/>
    </xf>
    <xf numFmtId="0" fontId="19" fillId="19" borderId="0" xfId="0" applyFont="1" applyFill="1"/>
    <xf numFmtId="0" fontId="19" fillId="19" borderId="0" xfId="0" applyFont="1" applyFill="1" applyAlignment="1"/>
    <xf numFmtId="0" fontId="12" fillId="2" borderId="0" xfId="0" applyFont="1" applyFill="1" applyAlignment="1">
      <alignment horizontal="center" vertical="center"/>
    </xf>
    <xf numFmtId="0" fontId="12" fillId="2" borderId="0" xfId="0" applyFont="1" applyFill="1" applyAlignment="1">
      <alignment vertical="center"/>
    </xf>
    <xf numFmtId="0" fontId="12" fillId="2" borderId="46" xfId="0" applyFont="1" applyFill="1" applyBorder="1" applyAlignment="1">
      <alignment horizontal="center" vertical="center"/>
    </xf>
    <xf numFmtId="2" fontId="12" fillId="2" borderId="48" xfId="0" applyNumberFormat="1" applyFont="1" applyFill="1" applyBorder="1" applyAlignment="1">
      <alignment horizontal="center" vertical="center"/>
    </xf>
    <xf numFmtId="0" fontId="12" fillId="2" borderId="46" xfId="0" applyNumberFormat="1" applyFont="1" applyFill="1" applyBorder="1" applyAlignment="1">
      <alignment horizontal="center" vertical="center"/>
    </xf>
    <xf numFmtId="0" fontId="12" fillId="2" borderId="47" xfId="0" applyFont="1" applyFill="1" applyBorder="1" applyAlignment="1">
      <alignment horizontal="center" vertical="center"/>
    </xf>
    <xf numFmtId="0" fontId="12" fillId="2" borderId="48" xfId="0" applyFont="1" applyFill="1" applyBorder="1" applyAlignment="1">
      <alignment horizontal="center" vertical="center"/>
    </xf>
    <xf numFmtId="9" fontId="12" fillId="2" borderId="48" xfId="2" applyFont="1" applyFill="1" applyBorder="1" applyAlignment="1">
      <alignment horizontal="center" vertical="center"/>
    </xf>
    <xf numFmtId="0" fontId="12" fillId="2" borderId="46" xfId="0" applyFont="1" applyFill="1" applyBorder="1" applyAlignment="1">
      <alignment horizontal="center" vertical="center" wrapText="1"/>
    </xf>
    <xf numFmtId="0" fontId="12" fillId="2" borderId="70" xfId="0" applyFont="1" applyFill="1" applyBorder="1" applyAlignment="1">
      <alignment horizontal="center" vertical="center" wrapText="1"/>
    </xf>
    <xf numFmtId="2" fontId="12" fillId="2" borderId="72" xfId="0" applyNumberFormat="1" applyFont="1" applyFill="1" applyBorder="1" applyAlignment="1">
      <alignment horizontal="center" vertical="center"/>
    </xf>
    <xf numFmtId="44" fontId="12" fillId="2" borderId="48" xfId="1" applyFont="1" applyFill="1" applyBorder="1" applyAlignment="1">
      <alignment horizontal="center" vertical="center"/>
    </xf>
    <xf numFmtId="9" fontId="12" fillId="2" borderId="70" xfId="0" applyNumberFormat="1" applyFont="1" applyFill="1" applyBorder="1" applyAlignment="1">
      <alignment horizontal="center" vertical="center"/>
    </xf>
    <xf numFmtId="44" fontId="22" fillId="2" borderId="71" xfId="1" applyFont="1" applyFill="1" applyBorder="1"/>
    <xf numFmtId="44" fontId="22" fillId="2" borderId="72" xfId="1" applyFont="1" applyFill="1" applyBorder="1"/>
    <xf numFmtId="0" fontId="12" fillId="2" borderId="73" xfId="0" applyFont="1" applyFill="1" applyBorder="1" applyAlignment="1">
      <alignment horizontal="center" vertical="center"/>
    </xf>
    <xf numFmtId="44" fontId="22" fillId="2" borderId="0" xfId="1" applyFont="1" applyFill="1" applyBorder="1"/>
    <xf numFmtId="44" fontId="22" fillId="2" borderId="74" xfId="1" applyFont="1" applyFill="1" applyBorder="1"/>
    <xf numFmtId="9" fontId="12" fillId="2" borderId="73" xfId="0" applyNumberFormat="1" applyFont="1" applyFill="1" applyBorder="1" applyAlignment="1">
      <alignment horizontal="center" vertical="center"/>
    </xf>
    <xf numFmtId="0" fontId="12" fillId="2" borderId="61" xfId="0" applyFont="1" applyFill="1" applyBorder="1" applyAlignment="1">
      <alignment horizontal="center" vertical="center"/>
    </xf>
    <xf numFmtId="44" fontId="22" fillId="2" borderId="63" xfId="0" applyNumberFormat="1" applyFont="1" applyFill="1" applyBorder="1"/>
    <xf numFmtId="44" fontId="22" fillId="2" borderId="64" xfId="0" applyNumberFormat="1" applyFont="1" applyFill="1" applyBorder="1"/>
    <xf numFmtId="0" fontId="22" fillId="2" borderId="0" xfId="0" applyFont="1" applyFill="1" applyBorder="1"/>
    <xf numFmtId="0" fontId="22" fillId="2" borderId="74" xfId="0" applyFont="1" applyFill="1" applyBorder="1"/>
    <xf numFmtId="0" fontId="12" fillId="2" borderId="70" xfId="0" applyFont="1" applyFill="1" applyBorder="1" applyAlignment="1">
      <alignment horizontal="center" vertical="center"/>
    </xf>
    <xf numFmtId="10" fontId="22" fillId="2" borderId="71" xfId="2" applyNumberFormat="1" applyFont="1" applyFill="1" applyBorder="1"/>
    <xf numFmtId="0" fontId="22" fillId="2" borderId="72" xfId="0" applyFont="1" applyFill="1" applyBorder="1"/>
    <xf numFmtId="44" fontId="22" fillId="2" borderId="63" xfId="1" applyFont="1" applyFill="1" applyBorder="1"/>
    <xf numFmtId="0" fontId="22" fillId="2" borderId="64" xfId="0" applyFont="1" applyFill="1" applyBorder="1"/>
    <xf numFmtId="0" fontId="11" fillId="2" borderId="0" xfId="0" applyFont="1" applyFill="1" applyAlignment="1">
      <alignment horizontal="right"/>
    </xf>
    <xf numFmtId="0" fontId="11" fillId="2" borderId="0" xfId="0" applyFont="1" applyFill="1" applyBorder="1" applyAlignment="1"/>
    <xf numFmtId="0" fontId="18" fillId="2" borderId="46" xfId="0" applyFont="1" applyFill="1" applyBorder="1" applyAlignment="1">
      <alignment horizontal="center" vertical="center"/>
    </xf>
    <xf numFmtId="0" fontId="20" fillId="2" borderId="42" xfId="0" applyFont="1" applyFill="1" applyBorder="1" applyAlignment="1">
      <alignment horizontal="center" vertical="center" wrapText="1"/>
    </xf>
    <xf numFmtId="44" fontId="11" fillId="2" borderId="1" xfId="1" applyFont="1" applyFill="1" applyBorder="1" applyAlignment="1">
      <alignment horizontal="center" vertical="center"/>
    </xf>
    <xf numFmtId="44" fontId="11" fillId="2" borderId="15" xfId="1" applyFont="1" applyFill="1" applyBorder="1" applyAlignment="1">
      <alignment horizontal="center" vertical="center"/>
    </xf>
    <xf numFmtId="0" fontId="11" fillId="2" borderId="61" xfId="0" applyFont="1" applyFill="1" applyBorder="1"/>
    <xf numFmtId="0" fontId="11" fillId="2" borderId="64" xfId="0" applyFont="1" applyFill="1" applyBorder="1"/>
    <xf numFmtId="0" fontId="18" fillId="2" borderId="42" xfId="0" applyFont="1" applyFill="1" applyBorder="1" applyAlignment="1">
      <alignment horizontal="center" vertical="center" wrapText="1"/>
    </xf>
    <xf numFmtId="0" fontId="11" fillId="12" borderId="0" xfId="0" applyFont="1" applyFill="1"/>
    <xf numFmtId="0" fontId="18" fillId="14" borderId="46" xfId="0" applyFont="1" applyFill="1" applyBorder="1" applyAlignment="1">
      <alignment horizontal="center" vertical="center"/>
    </xf>
    <xf numFmtId="0" fontId="18" fillId="14" borderId="42" xfId="0" applyFont="1" applyFill="1" applyBorder="1" applyAlignment="1">
      <alignment horizontal="center" vertical="center"/>
    </xf>
    <xf numFmtId="0" fontId="18" fillId="14" borderId="38" xfId="0" applyFont="1" applyFill="1" applyBorder="1" applyAlignment="1">
      <alignment horizontal="center" vertical="center"/>
    </xf>
    <xf numFmtId="0" fontId="18" fillId="14" borderId="39" xfId="0" applyFont="1" applyFill="1" applyBorder="1" applyAlignment="1">
      <alignment horizontal="center" vertical="center"/>
    </xf>
    <xf numFmtId="0" fontId="18" fillId="14" borderId="40" xfId="0" applyFont="1" applyFill="1" applyBorder="1" applyAlignment="1">
      <alignment horizontal="center" vertical="center"/>
    </xf>
    <xf numFmtId="0" fontId="20" fillId="14" borderId="42" xfId="0" applyFont="1" applyFill="1" applyBorder="1" applyAlignment="1">
      <alignment horizontal="center" vertical="center" wrapText="1"/>
    </xf>
    <xf numFmtId="0" fontId="12" fillId="14" borderId="46" xfId="0" applyFont="1" applyFill="1" applyBorder="1" applyAlignment="1">
      <alignment horizontal="center" vertical="center"/>
    </xf>
    <xf numFmtId="0" fontId="14" fillId="14" borderId="46" xfId="0" applyFont="1" applyFill="1" applyBorder="1" applyAlignment="1">
      <alignment horizontal="center" vertical="center"/>
    </xf>
    <xf numFmtId="0" fontId="14" fillId="14" borderId="56" xfId="0" applyFont="1" applyFill="1" applyBorder="1" applyAlignment="1">
      <alignment horizontal="center" vertical="center"/>
    </xf>
    <xf numFmtId="0" fontId="14" fillId="14" borderId="61" xfId="0" applyFont="1" applyFill="1" applyBorder="1" applyAlignment="1">
      <alignment horizontal="center" vertical="center"/>
    </xf>
    <xf numFmtId="0" fontId="14" fillId="14" borderId="62" xfId="0" applyFont="1" applyFill="1" applyBorder="1" applyAlignment="1">
      <alignment horizontal="center" vertical="center"/>
    </xf>
    <xf numFmtId="0" fontId="14" fillId="14" borderId="46" xfId="0" applyFont="1" applyFill="1" applyBorder="1" applyAlignment="1">
      <alignment horizontal="center" vertical="center" wrapText="1"/>
    </xf>
    <xf numFmtId="0" fontId="14" fillId="14" borderId="56" xfId="0" applyFont="1" applyFill="1" applyBorder="1" applyAlignment="1">
      <alignment horizontal="center" vertical="center" wrapText="1"/>
    </xf>
    <xf numFmtId="0" fontId="21" fillId="14" borderId="25" xfId="0" applyFont="1" applyFill="1" applyBorder="1" applyAlignment="1">
      <alignment horizontal="center"/>
    </xf>
    <xf numFmtId="0" fontId="15" fillId="2" borderId="0" xfId="0" applyFont="1" applyFill="1" applyAlignment="1">
      <alignment horizontal="center"/>
    </xf>
    <xf numFmtId="0" fontId="15" fillId="17" borderId="41" xfId="0" applyFont="1" applyFill="1" applyBorder="1" applyAlignment="1">
      <alignment horizontal="center" vertical="center" wrapText="1"/>
    </xf>
    <xf numFmtId="0" fontId="15" fillId="17" borderId="43" xfId="0" applyFont="1" applyFill="1" applyBorder="1" applyAlignment="1">
      <alignment horizontal="center" vertical="center" wrapText="1"/>
    </xf>
    <xf numFmtId="0" fontId="15" fillId="17" borderId="35" xfId="0" applyFont="1" applyFill="1" applyBorder="1" applyAlignment="1">
      <alignment horizontal="center" vertical="center"/>
    </xf>
    <xf numFmtId="0" fontId="15" fillId="17" borderId="36" xfId="0" applyFont="1" applyFill="1" applyBorder="1" applyAlignment="1">
      <alignment horizontal="center" vertical="center"/>
    </xf>
    <xf numFmtId="0" fontId="15" fillId="17" borderId="37" xfId="0" applyFont="1" applyFill="1" applyBorder="1" applyAlignment="1">
      <alignment horizontal="center" vertical="center"/>
    </xf>
    <xf numFmtId="0" fontId="23" fillId="17" borderId="25" xfId="0" applyFont="1" applyFill="1" applyBorder="1" applyAlignment="1">
      <alignment horizontal="center"/>
    </xf>
    <xf numFmtId="0" fontId="15" fillId="17" borderId="0" xfId="0" applyFont="1" applyFill="1" applyBorder="1" applyAlignment="1">
      <alignment horizontal="center" vertical="center"/>
    </xf>
    <xf numFmtId="0" fontId="26" fillId="9" borderId="46" xfId="0" applyFont="1" applyFill="1" applyBorder="1" applyAlignment="1">
      <alignment horizontal="center" vertical="center" wrapText="1"/>
    </xf>
    <xf numFmtId="0" fontId="26" fillId="9" borderId="56" xfId="0" applyFont="1" applyFill="1" applyBorder="1" applyAlignment="1">
      <alignment horizontal="center" vertical="center" wrapText="1"/>
    </xf>
    <xf numFmtId="0" fontId="26" fillId="9" borderId="61" xfId="0" applyFont="1" applyFill="1" applyBorder="1" applyAlignment="1">
      <alignment horizontal="center" vertical="center"/>
    </xf>
    <xf numFmtId="0" fontId="26" fillId="9" borderId="63" xfId="0" applyFont="1" applyFill="1" applyBorder="1" applyAlignment="1">
      <alignment horizontal="center" vertical="center"/>
    </xf>
    <xf numFmtId="0" fontId="26" fillId="9" borderId="64" xfId="0" applyFont="1" applyFill="1" applyBorder="1" applyAlignment="1">
      <alignment horizontal="center" vertical="center"/>
    </xf>
    <xf numFmtId="0" fontId="18" fillId="9" borderId="63" xfId="0" applyFont="1" applyFill="1" applyBorder="1" applyAlignment="1">
      <alignment horizontal="center" vertical="center" wrapText="1"/>
    </xf>
    <xf numFmtId="0" fontId="26" fillId="9" borderId="62" xfId="0" applyFont="1" applyFill="1" applyBorder="1" applyAlignment="1">
      <alignment horizontal="center" vertical="center"/>
    </xf>
    <xf numFmtId="0" fontId="18" fillId="2" borderId="46" xfId="0" applyFont="1" applyFill="1" applyBorder="1" applyAlignment="1">
      <alignment horizontal="center" vertical="center"/>
    </xf>
    <xf numFmtId="0" fontId="18" fillId="2" borderId="47" xfId="0" applyFont="1" applyFill="1" applyBorder="1" applyAlignment="1">
      <alignment horizontal="center" vertical="center"/>
    </xf>
    <xf numFmtId="0" fontId="18" fillId="2" borderId="48" xfId="0" applyFont="1" applyFill="1" applyBorder="1" applyAlignment="1">
      <alignment horizontal="center" vertical="center"/>
    </xf>
    <xf numFmtId="0" fontId="17" fillId="2" borderId="25" xfId="0" applyFont="1" applyFill="1" applyBorder="1" applyAlignment="1">
      <alignment horizontal="center" vertical="center"/>
    </xf>
    <xf numFmtId="0" fontId="24" fillId="2" borderId="32" xfId="0" applyFont="1" applyFill="1" applyBorder="1" applyAlignment="1">
      <alignment horizontal="center" vertical="center"/>
    </xf>
    <xf numFmtId="0" fontId="25" fillId="9" borderId="32" xfId="0" applyFont="1" applyFill="1" applyBorder="1" applyAlignment="1">
      <alignment horizontal="center" vertical="center"/>
    </xf>
    <xf numFmtId="0" fontId="18" fillId="2" borderId="46" xfId="0" applyFont="1" applyFill="1" applyBorder="1" applyAlignment="1">
      <alignment horizontal="center" vertical="center" wrapText="1"/>
    </xf>
    <xf numFmtId="0" fontId="18" fillId="2" borderId="56" xfId="0" applyFont="1" applyFill="1" applyBorder="1" applyAlignment="1">
      <alignment horizontal="center" vertical="center" wrapText="1"/>
    </xf>
    <xf numFmtId="0" fontId="18" fillId="2" borderId="0" xfId="0" applyFont="1" applyFill="1" applyBorder="1" applyAlignment="1">
      <alignment horizontal="center" vertical="center" wrapText="1"/>
    </xf>
    <xf numFmtId="0" fontId="18" fillId="2" borderId="61" xfId="0" applyFont="1" applyFill="1" applyBorder="1" applyAlignment="1">
      <alignment horizontal="center" vertical="center"/>
    </xf>
    <xf numFmtId="0" fontId="18" fillId="2" borderId="62" xfId="0" applyFont="1" applyFill="1" applyBorder="1" applyAlignment="1">
      <alignment horizontal="center" vertical="center"/>
    </xf>
    <xf numFmtId="0" fontId="18" fillId="2" borderId="56" xfId="0" applyFont="1" applyFill="1" applyBorder="1" applyAlignment="1">
      <alignment horizontal="center" vertical="center"/>
    </xf>
    <xf numFmtId="0" fontId="28" fillId="14" borderId="25" xfId="0" applyFont="1" applyFill="1" applyBorder="1" applyAlignment="1">
      <alignment horizontal="center"/>
    </xf>
    <xf numFmtId="0" fontId="18" fillId="14" borderId="54" xfId="0" applyFont="1" applyFill="1" applyBorder="1" applyAlignment="1">
      <alignment horizontal="center" vertical="center" wrapText="1"/>
    </xf>
    <xf numFmtId="0" fontId="18" fillId="14" borderId="57" xfId="0" applyFont="1" applyFill="1" applyBorder="1" applyAlignment="1">
      <alignment horizontal="center" vertical="center" wrapText="1"/>
    </xf>
    <xf numFmtId="0" fontId="18" fillId="14" borderId="55" xfId="0" applyFont="1" applyFill="1" applyBorder="1" applyAlignment="1">
      <alignment horizontal="center" vertical="center" wrapText="1"/>
    </xf>
    <xf numFmtId="0" fontId="18" fillId="14" borderId="58" xfId="0" applyFont="1" applyFill="1" applyBorder="1" applyAlignment="1">
      <alignment horizontal="center" vertical="center" wrapText="1"/>
    </xf>
    <xf numFmtId="164" fontId="20" fillId="4" borderId="50" xfId="0" applyNumberFormat="1" applyFont="1" applyFill="1" applyBorder="1" applyAlignment="1">
      <alignment horizontal="center" vertical="center"/>
    </xf>
    <xf numFmtId="164" fontId="20" fillId="4" borderId="19" xfId="0" applyNumberFormat="1" applyFont="1" applyFill="1" applyBorder="1" applyAlignment="1">
      <alignment horizontal="center" vertical="center"/>
    </xf>
    <xf numFmtId="0" fontId="18" fillId="14" borderId="46" xfId="0" applyFont="1" applyFill="1" applyBorder="1" applyAlignment="1">
      <alignment horizontal="center"/>
    </xf>
    <xf numFmtId="0" fontId="18" fillId="14" borderId="56" xfId="0" applyFont="1" applyFill="1" applyBorder="1" applyAlignment="1">
      <alignment horizontal="center"/>
    </xf>
    <xf numFmtId="0" fontId="18" fillId="14" borderId="46" xfId="0" applyFont="1" applyFill="1" applyBorder="1" applyAlignment="1">
      <alignment horizontal="center" vertical="center"/>
    </xf>
    <xf numFmtId="0" fontId="18" fillId="14" borderId="56" xfId="0" applyFont="1" applyFill="1" applyBorder="1" applyAlignment="1">
      <alignment horizontal="center" vertical="center"/>
    </xf>
    <xf numFmtId="0" fontId="18" fillId="14" borderId="41" xfId="0" applyFont="1" applyFill="1" applyBorder="1" applyAlignment="1">
      <alignment horizontal="center" vertical="center"/>
    </xf>
    <xf numFmtId="0" fontId="18" fillId="14" borderId="43" xfId="0" applyFont="1" applyFill="1" applyBorder="1" applyAlignment="1">
      <alignment horizontal="center" vertical="center"/>
    </xf>
    <xf numFmtId="0" fontId="18" fillId="14" borderId="41" xfId="0" applyFont="1" applyFill="1" applyBorder="1" applyAlignment="1">
      <alignment horizontal="center"/>
    </xf>
    <xf numFmtId="0" fontId="18" fillId="14" borderId="43" xfId="0" applyFont="1" applyFill="1" applyBorder="1" applyAlignment="1">
      <alignment horizontal="center"/>
    </xf>
    <xf numFmtId="0" fontId="18" fillId="9" borderId="46" xfId="0" applyFont="1" applyFill="1" applyBorder="1" applyAlignment="1">
      <alignment horizontal="center" vertical="center"/>
    </xf>
    <xf numFmtId="0" fontId="18" fillId="9" borderId="47" xfId="0" applyFont="1" applyFill="1" applyBorder="1" applyAlignment="1">
      <alignment horizontal="center" vertical="center"/>
    </xf>
    <xf numFmtId="0" fontId="18" fillId="9" borderId="48" xfId="0" applyFont="1" applyFill="1" applyBorder="1" applyAlignment="1">
      <alignment horizontal="center" vertical="center"/>
    </xf>
    <xf numFmtId="0" fontId="27" fillId="9" borderId="33" xfId="0" applyFont="1" applyFill="1" applyBorder="1" applyAlignment="1">
      <alignment horizontal="center"/>
    </xf>
    <xf numFmtId="0" fontId="27" fillId="9" borderId="25" xfId="0" applyFont="1" applyFill="1" applyBorder="1" applyAlignment="1">
      <alignment horizontal="center"/>
    </xf>
    <xf numFmtId="0" fontId="19" fillId="2" borderId="0" xfId="0" applyFont="1" applyFill="1" applyAlignment="1">
      <alignment horizontal="center"/>
    </xf>
    <xf numFmtId="164" fontId="19" fillId="19" borderId="0" xfId="0" applyNumberFormat="1" applyFont="1" applyFill="1" applyBorder="1" applyAlignment="1">
      <alignment horizontal="center"/>
    </xf>
    <xf numFmtId="164" fontId="19" fillId="19" borderId="23" xfId="0" applyNumberFormat="1" applyFont="1" applyFill="1" applyBorder="1" applyAlignment="1">
      <alignment horizontal="center"/>
    </xf>
    <xf numFmtId="0" fontId="11" fillId="2" borderId="0" xfId="0" applyFont="1" applyFill="1" applyAlignment="1">
      <alignment horizontal="center"/>
    </xf>
    <xf numFmtId="0" fontId="27" fillId="19" borderId="25" xfId="0" applyFont="1" applyFill="1" applyBorder="1" applyAlignment="1">
      <alignment horizontal="center"/>
    </xf>
    <xf numFmtId="0" fontId="18" fillId="19" borderId="42" xfId="0" applyFont="1" applyFill="1" applyBorder="1" applyAlignment="1">
      <alignment horizontal="center" vertical="center"/>
    </xf>
    <xf numFmtId="0" fontId="18" fillId="19" borderId="59" xfId="0" applyFont="1" applyFill="1" applyBorder="1" applyAlignment="1">
      <alignment horizontal="center" vertical="center"/>
    </xf>
    <xf numFmtId="0" fontId="18" fillId="19" borderId="60" xfId="0" applyFont="1" applyFill="1" applyBorder="1" applyAlignment="1">
      <alignment horizontal="center" vertical="center"/>
    </xf>
    <xf numFmtId="0" fontId="30" fillId="19" borderId="0" xfId="0" applyFont="1" applyFill="1" applyBorder="1" applyAlignment="1">
      <alignment horizontal="center" vertical="center"/>
    </xf>
    <xf numFmtId="0" fontId="11" fillId="2" borderId="0" xfId="0" applyFont="1" applyFill="1" applyBorder="1" applyAlignment="1">
      <alignment horizontal="center"/>
    </xf>
    <xf numFmtId="0" fontId="19" fillId="19" borderId="0" xfId="0" applyFont="1" applyFill="1" applyBorder="1" applyAlignment="1">
      <alignment horizontal="center" vertical="center"/>
    </xf>
    <xf numFmtId="0" fontId="22" fillId="2" borderId="91" xfId="0" applyFont="1" applyFill="1" applyBorder="1" applyAlignment="1">
      <alignment horizontal="center" vertical="center"/>
    </xf>
    <xf numFmtId="0" fontId="22" fillId="2" borderId="90" xfId="0" applyFont="1" applyFill="1" applyBorder="1" applyAlignment="1">
      <alignment horizontal="center" vertical="center"/>
    </xf>
    <xf numFmtId="0" fontId="12" fillId="2" borderId="0" xfId="0" applyFont="1" applyFill="1" applyAlignment="1">
      <alignment horizontal="center" vertical="center"/>
    </xf>
    <xf numFmtId="0" fontId="17" fillId="14" borderId="25" xfId="0" applyFont="1" applyFill="1" applyBorder="1" applyAlignment="1">
      <alignment horizontal="center"/>
    </xf>
    <xf numFmtId="0" fontId="24" fillId="14" borderId="32" xfId="0" applyFont="1" applyFill="1" applyBorder="1" applyAlignment="1">
      <alignment horizontal="center"/>
    </xf>
    <xf numFmtId="0" fontId="24" fillId="2" borderId="32" xfId="0" applyFont="1" applyFill="1" applyBorder="1" applyAlignment="1">
      <alignment horizontal="center"/>
    </xf>
    <xf numFmtId="0" fontId="18" fillId="2" borderId="46" xfId="0" applyFont="1" applyFill="1" applyBorder="1" applyAlignment="1">
      <alignment horizontal="center"/>
    </xf>
    <xf numFmtId="0" fontId="18" fillId="2" borderId="47" xfId="0" applyFont="1" applyFill="1" applyBorder="1" applyAlignment="1">
      <alignment horizontal="center"/>
    </xf>
    <xf numFmtId="0" fontId="18" fillId="2" borderId="48" xfId="0" applyFont="1" applyFill="1" applyBorder="1" applyAlignment="1">
      <alignment horizontal="center"/>
    </xf>
    <xf numFmtId="0" fontId="14" fillId="8" borderId="0" xfId="0" applyFont="1" applyFill="1" applyAlignment="1">
      <alignment horizontal="center"/>
    </xf>
    <xf numFmtId="0" fontId="15" fillId="10" borderId="95" xfId="0" applyFont="1" applyFill="1" applyBorder="1" applyAlignment="1">
      <alignment horizontal="center"/>
    </xf>
    <xf numFmtId="0" fontId="15" fillId="10" borderId="31" xfId="0" applyFont="1" applyFill="1" applyBorder="1" applyAlignment="1">
      <alignment horizontal="center"/>
    </xf>
    <xf numFmtId="0" fontId="15" fillId="10" borderId="28" xfId="0" applyFont="1" applyFill="1" applyBorder="1" applyAlignment="1">
      <alignment horizontal="center"/>
    </xf>
    <xf numFmtId="0" fontId="14" fillId="10" borderId="92" xfId="0" applyFont="1" applyFill="1" applyBorder="1" applyAlignment="1">
      <alignment horizontal="left"/>
    </xf>
    <xf numFmtId="0" fontId="14" fillId="10" borderId="93" xfId="0" applyFont="1" applyFill="1" applyBorder="1" applyAlignment="1">
      <alignment horizontal="left"/>
    </xf>
    <xf numFmtId="0" fontId="16" fillId="10" borderId="97" xfId="0" applyFont="1" applyFill="1" applyBorder="1" applyAlignment="1">
      <alignment horizontal="left"/>
    </xf>
    <xf numFmtId="0" fontId="16" fillId="10" borderId="0" xfId="0" applyFont="1" applyFill="1" applyBorder="1" applyAlignment="1">
      <alignment horizontal="left"/>
    </xf>
    <xf numFmtId="0" fontId="15" fillId="10" borderId="99" xfId="0" applyFont="1" applyFill="1" applyBorder="1" applyAlignment="1">
      <alignment horizontal="center"/>
    </xf>
    <xf numFmtId="0" fontId="15" fillId="10" borderId="32" xfId="0" applyFont="1" applyFill="1" applyBorder="1" applyAlignment="1">
      <alignment horizontal="center"/>
    </xf>
    <xf numFmtId="0" fontId="15" fillId="10" borderId="20" xfId="0" applyFont="1" applyFill="1" applyBorder="1" applyAlignment="1">
      <alignment horizontal="center"/>
    </xf>
    <xf numFmtId="0" fontId="14" fillId="10" borderId="97" xfId="0" applyFont="1" applyFill="1" applyBorder="1" applyAlignment="1">
      <alignment horizontal="left"/>
    </xf>
    <xf numFmtId="0" fontId="14" fillId="10" borderId="0" xfId="0" applyFont="1" applyFill="1" applyBorder="1" applyAlignment="1">
      <alignment horizontal="left"/>
    </xf>
    <xf numFmtId="0" fontId="15" fillId="10" borderId="95" xfId="0" applyFont="1" applyFill="1" applyBorder="1" applyAlignment="1">
      <alignment horizontal="left"/>
    </xf>
    <xf numFmtId="0" fontId="15" fillId="10" borderId="31" xfId="0" applyFont="1" applyFill="1" applyBorder="1" applyAlignment="1">
      <alignment horizontal="left"/>
    </xf>
    <xf numFmtId="44" fontId="14" fillId="10" borderId="97" xfId="1" applyFont="1" applyFill="1" applyBorder="1" applyAlignment="1">
      <alignment horizontal="left"/>
    </xf>
    <xf numFmtId="44" fontId="14" fillId="10" borderId="0" xfId="1" applyFont="1" applyFill="1" applyBorder="1" applyAlignment="1">
      <alignment horizontal="left"/>
    </xf>
    <xf numFmtId="0" fontId="5" fillId="3" borderId="25" xfId="0" applyFont="1" applyFill="1" applyBorder="1" applyAlignment="1">
      <alignment horizontal="center"/>
    </xf>
    <xf numFmtId="0" fontId="10" fillId="7" borderId="41" xfId="0" applyFont="1" applyFill="1" applyBorder="1" applyAlignment="1">
      <alignment horizontal="center" vertical="center"/>
    </xf>
    <xf numFmtId="0" fontId="10" fillId="7" borderId="78" xfId="0" applyFont="1" applyFill="1" applyBorder="1" applyAlignment="1">
      <alignment horizontal="center" vertical="center"/>
    </xf>
    <xf numFmtId="0" fontId="10" fillId="7" borderId="79" xfId="0" applyFont="1" applyFill="1" applyBorder="1" applyAlignment="1">
      <alignment horizontal="center" vertical="center"/>
    </xf>
    <xf numFmtId="0" fontId="13" fillId="5" borderId="87" xfId="0" applyFont="1" applyFill="1" applyBorder="1" applyAlignment="1">
      <alignment horizontal="center" vertical="center"/>
    </xf>
    <xf numFmtId="0" fontId="13" fillId="5" borderId="88" xfId="0" applyFont="1" applyFill="1" applyBorder="1" applyAlignment="1">
      <alignment horizontal="center" vertical="center"/>
    </xf>
    <xf numFmtId="0" fontId="13" fillId="5" borderId="89" xfId="0" applyFont="1" applyFill="1" applyBorder="1" applyAlignment="1">
      <alignment horizontal="center" vertical="center"/>
    </xf>
    <xf numFmtId="9" fontId="12" fillId="4" borderId="82" xfId="2" applyFont="1" applyFill="1" applyBorder="1" applyAlignment="1">
      <alignment horizontal="center" vertical="center"/>
    </xf>
    <xf numFmtId="9" fontId="12" fillId="4" borderId="2" xfId="2" applyFont="1" applyFill="1" applyBorder="1" applyAlignment="1">
      <alignment horizontal="center" vertical="center"/>
    </xf>
    <xf numFmtId="2" fontId="12" fillId="4" borderId="83" xfId="0" applyNumberFormat="1" applyFont="1" applyFill="1" applyBorder="1" applyAlignment="1">
      <alignment horizontal="center" vertical="center"/>
    </xf>
    <xf numFmtId="0" fontId="12" fillId="4" borderId="1" xfId="0" applyFont="1" applyFill="1" applyBorder="1" applyAlignment="1">
      <alignment horizontal="center" vertical="center"/>
    </xf>
    <xf numFmtId="164" fontId="12" fillId="4" borderId="83" xfId="0" applyNumberFormat="1" applyFont="1" applyFill="1" applyBorder="1" applyAlignment="1">
      <alignment horizontal="center" vertical="center"/>
    </xf>
    <xf numFmtId="164" fontId="12" fillId="4" borderId="1" xfId="0" applyNumberFormat="1" applyFont="1" applyFill="1" applyBorder="1" applyAlignment="1">
      <alignment horizontal="center" vertical="center"/>
    </xf>
    <xf numFmtId="10" fontId="12" fillId="4" borderId="84" xfId="0" applyNumberFormat="1" applyFont="1" applyFill="1" applyBorder="1" applyAlignment="1">
      <alignment horizontal="center" vertical="center"/>
    </xf>
    <xf numFmtId="0" fontId="12" fillId="4" borderId="85" xfId="0" applyFont="1" applyFill="1" applyBorder="1" applyAlignment="1">
      <alignment horizontal="center" vertical="center"/>
    </xf>
    <xf numFmtId="0" fontId="13" fillId="5" borderId="46" xfId="0" applyFont="1" applyFill="1" applyBorder="1" applyAlignment="1">
      <alignment horizontal="center" vertical="center"/>
    </xf>
    <xf numFmtId="0" fontId="13" fillId="5" borderId="47" xfId="0" applyFont="1" applyFill="1" applyBorder="1" applyAlignment="1">
      <alignment horizontal="center" vertical="center"/>
    </xf>
    <xf numFmtId="0" fontId="13" fillId="5" borderId="76" xfId="0" applyFont="1" applyFill="1" applyBorder="1" applyAlignment="1">
      <alignment horizontal="center" vertical="center"/>
    </xf>
    <xf numFmtId="0" fontId="0" fillId="16" borderId="0" xfId="0" applyFill="1"/>
    <xf numFmtId="0" fontId="0" fillId="2" borderId="0" xfId="0" applyFill="1"/>
    <xf numFmtId="0" fontId="2" fillId="2" borderId="4" xfId="0" applyFont="1" applyFill="1" applyBorder="1" applyAlignment="1">
      <alignment horizontal="center" vertical="center"/>
    </xf>
    <xf numFmtId="0" fontId="2" fillId="2" borderId="5" xfId="0" applyFont="1" applyFill="1" applyBorder="1" applyAlignment="1">
      <alignment horizontal="center" vertical="center"/>
    </xf>
    <xf numFmtId="0" fontId="2" fillId="2" borderId="6" xfId="0" applyFont="1" applyFill="1" applyBorder="1" applyAlignment="1">
      <alignment horizontal="center" vertical="center"/>
    </xf>
    <xf numFmtId="0" fontId="2" fillId="2" borderId="7" xfId="0" applyFont="1" applyFill="1" applyBorder="1" applyAlignment="1">
      <alignment horizontal="center" vertical="center"/>
    </xf>
    <xf numFmtId="0" fontId="2" fillId="2" borderId="0" xfId="0" applyFont="1" applyFill="1" applyBorder="1" applyAlignment="1">
      <alignment horizontal="center" vertical="center"/>
    </xf>
    <xf numFmtId="0" fontId="2" fillId="2" borderId="0" xfId="0" applyFont="1" applyFill="1" applyBorder="1" applyAlignment="1">
      <alignment horizontal="center" vertical="center"/>
    </xf>
    <xf numFmtId="0" fontId="3" fillId="2" borderId="0" xfId="0" applyFont="1" applyFill="1" applyBorder="1"/>
    <xf numFmtId="0" fontId="2" fillId="2" borderId="8" xfId="0" applyFont="1" applyFill="1" applyBorder="1" applyAlignment="1">
      <alignment horizontal="center" vertical="center"/>
    </xf>
    <xf numFmtId="0" fontId="4" fillId="2" borderId="0" xfId="0" applyFont="1" applyFill="1" applyBorder="1" applyAlignment="1">
      <alignment horizontal="center" vertical="center" wrapText="1"/>
    </xf>
    <xf numFmtId="0" fontId="0" fillId="2" borderId="0" xfId="0" applyFont="1" applyFill="1" applyBorder="1"/>
    <xf numFmtId="0" fontId="3" fillId="2" borderId="0" xfId="0" applyFont="1" applyFill="1" applyBorder="1" applyAlignment="1">
      <alignment horizontal="center"/>
    </xf>
    <xf numFmtId="0" fontId="2" fillId="2" borderId="9" xfId="0" applyFont="1" applyFill="1" applyBorder="1" applyAlignment="1">
      <alignment horizontal="center" vertical="center"/>
    </xf>
    <xf numFmtId="0" fontId="2" fillId="2" borderId="10" xfId="0" applyFont="1" applyFill="1" applyBorder="1" applyAlignment="1">
      <alignment horizontal="center" vertical="center"/>
    </xf>
    <xf numFmtId="0" fontId="2" fillId="2" borderId="11" xfId="0" applyFont="1" applyFill="1" applyBorder="1" applyAlignment="1">
      <alignment horizontal="center" vertical="center"/>
    </xf>
    <xf numFmtId="0" fontId="14" fillId="16" borderId="0" xfId="0" applyFont="1" applyFill="1"/>
    <xf numFmtId="0" fontId="31" fillId="20" borderId="0" xfId="0" applyFont="1" applyFill="1" applyAlignment="1">
      <alignment horizontal="center" vertical="center"/>
    </xf>
    <xf numFmtId="0" fontId="0" fillId="20" borderId="0" xfId="0" applyFill="1"/>
    <xf numFmtId="0" fontId="0" fillId="21" borderId="0" xfId="0" applyFill="1"/>
    <xf numFmtId="0" fontId="0" fillId="22" borderId="0" xfId="0" applyFill="1"/>
    <xf numFmtId="0" fontId="33" fillId="24" borderId="0" xfId="0" applyFont="1" applyFill="1" applyAlignment="1">
      <alignment horizontal="center"/>
    </xf>
    <xf numFmtId="0" fontId="32" fillId="23" borderId="0" xfId="0" applyFont="1" applyFill="1" applyAlignment="1">
      <alignment horizontal="center" vertical="center" wrapText="1"/>
    </xf>
  </cellXfs>
  <cellStyles count="3">
    <cellStyle name="Moneda" xfId="1" builtinId="4"/>
    <cellStyle name="Normal" xfId="0" builtinId="0"/>
    <cellStyle name="Porcentaje" xfId="2" builtinId="5"/>
  </cellStyles>
  <dxfs count="3">
    <dxf>
      <font>
        <color auto="1"/>
      </font>
      <fill>
        <patternFill>
          <bgColor theme="9" tint="0.59996337778862885"/>
        </patternFill>
      </fill>
    </dxf>
    <dxf>
      <fill>
        <patternFill>
          <bgColor rgb="FFFF6565"/>
        </patternFill>
      </fill>
    </dxf>
    <dxf>
      <fill>
        <patternFill>
          <bgColor theme="7" tint="0.59996337778862885"/>
        </patternFill>
      </fill>
    </dxf>
  </dxfs>
  <tableStyles count="0" defaultTableStyle="TableStyleMedium2" defaultPivotStyle="PivotStyleLight16"/>
  <colors>
    <mruColors>
      <color rgb="FFCCFFFF"/>
      <color rgb="FFFFCC99"/>
      <color rgb="FFF8F8F8"/>
      <color rgb="FFFFCCCC"/>
      <color rgb="FFFF7C80"/>
      <color rgb="FFFF6565"/>
      <color rgb="FFAF0931"/>
      <color rgb="FFEA0000"/>
      <color rgb="FF00CC99"/>
      <color rgb="FF00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4"/>
    </mc:Choice>
    <mc:Fallback>
      <c:style val="4"/>
    </mc:Fallback>
  </mc:AlternateContent>
  <c:chart>
    <c:title>
      <c:tx>
        <c:rich>
          <a:bodyPr rot="0" spcFirstLastPara="1" vertOverflow="ellipsis" vert="horz" wrap="square" anchor="ctr" anchorCtr="1"/>
          <a:lstStyle/>
          <a:p>
            <a:pPr>
              <a:defRPr sz="2400" b="1" i="0" u="none" strike="noStrike" kern="1200" spc="70" baseline="0">
                <a:solidFill>
                  <a:schemeClr val="dk1">
                    <a:lumMod val="50000"/>
                    <a:lumOff val="50000"/>
                  </a:schemeClr>
                </a:solidFill>
                <a:latin typeface="AR CHRISTY" panose="02000000000000000000" pitchFamily="2" charset="0"/>
                <a:ea typeface="+mn-ea"/>
                <a:cs typeface="+mn-cs"/>
              </a:defRPr>
            </a:pPr>
            <a:r>
              <a:rPr lang="es-MX" sz="2400" b="1">
                <a:latin typeface="AR CHRISTY" panose="02000000000000000000" pitchFamily="2" charset="0"/>
              </a:rPr>
              <a:t>UTILIDAD DEL EJERCICIO DURANTE 10 AÑOS</a:t>
            </a:r>
          </a:p>
        </c:rich>
      </c:tx>
      <c:layout/>
      <c:overlay val="0"/>
      <c:spPr>
        <a:noFill/>
        <a:ln>
          <a:noFill/>
        </a:ln>
        <a:effectLst/>
      </c:spPr>
      <c:txPr>
        <a:bodyPr rot="0" spcFirstLastPara="1" vertOverflow="ellipsis" vert="horz" wrap="square" anchor="ctr" anchorCtr="1"/>
        <a:lstStyle/>
        <a:p>
          <a:pPr>
            <a:defRPr sz="2400" b="1" i="0" u="none" strike="noStrike" kern="1200" spc="70" baseline="0">
              <a:solidFill>
                <a:schemeClr val="dk1">
                  <a:lumMod val="50000"/>
                  <a:lumOff val="50000"/>
                </a:schemeClr>
              </a:solidFill>
              <a:latin typeface="AR CHRISTY" panose="02000000000000000000" pitchFamily="2" charset="0"/>
              <a:ea typeface="+mn-ea"/>
              <a:cs typeface="+mn-cs"/>
            </a:defRPr>
          </a:pPr>
          <a:endParaRPr lang="es-MX"/>
        </a:p>
      </c:txPr>
    </c:title>
    <c:autoTitleDeleted val="0"/>
    <c:plotArea>
      <c:layout/>
      <c:scatterChart>
        <c:scatterStyle val="lineMarker"/>
        <c:varyColors val="0"/>
        <c:ser>
          <c:idx val="0"/>
          <c:order val="0"/>
          <c:spPr>
            <a:ln w="28575">
              <a:solidFill>
                <a:schemeClr val="accent2">
                  <a:alpha val="20000"/>
                </a:schemeClr>
              </a:solidFill>
            </a:ln>
            <a:effectLst/>
          </c:spPr>
          <c:marker>
            <c:symbol val="circle"/>
            <c:size val="4"/>
            <c:spPr>
              <a:solidFill>
                <a:schemeClr val="accent2"/>
              </a:solidFill>
              <a:ln w="9525" cap="flat" cmpd="sng" algn="ctr">
                <a:solidFill>
                  <a:schemeClr val="accent2"/>
                </a:solidFill>
                <a:round/>
              </a:ln>
              <a:effectLst/>
            </c:spPr>
          </c:marker>
          <c:yVal>
            <c:numRef>
              <c:f>'Estado de Resultados'!$D$22:$M$22</c:f>
              <c:numCache>
                <c:formatCode>"$"#,##0.00</c:formatCode>
                <c:ptCount val="10"/>
                <c:pt idx="0">
                  <c:v>940183.90804597689</c:v>
                </c:pt>
                <c:pt idx="1">
                  <c:v>1133749.4252873573</c:v>
                </c:pt>
                <c:pt idx="2">
                  <c:v>1341106.5080459788</c:v>
                </c:pt>
                <c:pt idx="3">
                  <c:v>1561988.8121873573</c:v>
                </c:pt>
                <c:pt idx="4">
                  <c:v>1795833.8203768274</c:v>
                </c:pt>
                <c:pt idx="5">
                  <c:v>1905050.1198265818</c:v>
                </c:pt>
                <c:pt idx="6">
                  <c:v>1829759.8311353181</c:v>
                </c:pt>
                <c:pt idx="7">
                  <c:v>1746626.7192774327</c:v>
                </c:pt>
                <c:pt idx="8">
                  <c:v>1652255.2210977781</c:v>
                </c:pt>
                <c:pt idx="9">
                  <c:v>1542425.2838069713</c:v>
                </c:pt>
              </c:numCache>
            </c:numRef>
          </c:yVal>
          <c:smooth val="0"/>
          <c:extLst>
            <c:ext xmlns:c16="http://schemas.microsoft.com/office/drawing/2014/chart" uri="{C3380CC4-5D6E-409C-BE32-E72D297353CC}">
              <c16:uniqueId val="{00000000-1CBB-419C-9F9E-486331077881}"/>
            </c:ext>
          </c:extLst>
        </c:ser>
        <c:dLbls>
          <c:showLegendKey val="0"/>
          <c:showVal val="0"/>
          <c:showCatName val="0"/>
          <c:showSerName val="0"/>
          <c:showPercent val="0"/>
          <c:showBubbleSize val="0"/>
        </c:dLbls>
        <c:axId val="447463104"/>
        <c:axId val="447509936"/>
      </c:scatterChart>
      <c:valAx>
        <c:axId val="447463104"/>
        <c:scaling>
          <c:orientation val="minMax"/>
          <c:max val="10"/>
        </c:scaling>
        <c:delete val="0"/>
        <c:axPos val="b"/>
        <c:majorGridlines>
          <c:spPr>
            <a:ln w="9525" cap="flat" cmpd="sng" algn="ctr">
              <a:solidFill>
                <a:schemeClr val="dk1">
                  <a:lumMod val="15000"/>
                  <a:lumOff val="85000"/>
                </a:schemeClr>
              </a:solidFill>
              <a:round/>
            </a:ln>
            <a:effectLst/>
          </c:spPr>
        </c:majorGridlines>
        <c:title>
          <c:tx>
            <c:rich>
              <a:bodyPr rot="0" spcFirstLastPara="1" vertOverflow="ellipsis" vert="horz" wrap="square" anchor="ctr" anchorCtr="1"/>
              <a:lstStyle/>
              <a:p>
                <a:pPr>
                  <a:defRPr sz="900" b="1" i="0" u="none" strike="noStrike" kern="1200" baseline="0">
                    <a:solidFill>
                      <a:schemeClr val="dk1">
                        <a:lumMod val="50000"/>
                        <a:lumOff val="50000"/>
                      </a:schemeClr>
                    </a:solidFill>
                    <a:latin typeface="+mn-lt"/>
                    <a:ea typeface="+mn-ea"/>
                    <a:cs typeface="+mn-cs"/>
                  </a:defRPr>
                </a:pPr>
                <a:r>
                  <a:rPr lang="es-MX"/>
                  <a:t>AÑOS</a:t>
                </a:r>
              </a:p>
            </c:rich>
          </c:tx>
          <c:layout/>
          <c:overlay val="0"/>
          <c:spPr>
            <a:noFill/>
            <a:ln>
              <a:noFill/>
            </a:ln>
            <a:effectLst/>
          </c:spPr>
          <c:txPr>
            <a:bodyPr rot="0" spcFirstLastPara="1" vertOverflow="ellipsis" vert="horz" wrap="square" anchor="ctr" anchorCtr="1"/>
            <a:lstStyle/>
            <a:p>
              <a:pPr>
                <a:defRPr sz="900" b="1" i="0" u="none" strike="noStrike" kern="1200" baseline="0">
                  <a:solidFill>
                    <a:schemeClr val="dk1">
                      <a:lumMod val="50000"/>
                      <a:lumOff val="50000"/>
                    </a:schemeClr>
                  </a:solidFill>
                  <a:latin typeface="+mn-lt"/>
                  <a:ea typeface="+mn-ea"/>
                  <a:cs typeface="+mn-cs"/>
                </a:defRPr>
              </a:pPr>
              <a:endParaRPr lang="es-MX"/>
            </a:p>
          </c:txPr>
        </c:title>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50000"/>
                    <a:lumOff val="50000"/>
                  </a:schemeClr>
                </a:solidFill>
                <a:latin typeface="+mn-lt"/>
                <a:ea typeface="+mn-ea"/>
                <a:cs typeface="+mn-cs"/>
              </a:defRPr>
            </a:pPr>
            <a:endParaRPr lang="es-MX"/>
          </a:p>
        </c:txPr>
        <c:crossAx val="447509936"/>
        <c:crosses val="autoZero"/>
        <c:crossBetween val="midCat"/>
      </c:valAx>
      <c:valAx>
        <c:axId val="447509936"/>
        <c:scaling>
          <c:orientation val="minMax"/>
        </c:scaling>
        <c:delete val="0"/>
        <c:axPos val="l"/>
        <c:majorGridlines>
          <c:spPr>
            <a:ln w="9525" cap="flat" cmpd="sng" algn="ctr">
              <a:solidFill>
                <a:schemeClr val="dk1">
                  <a:lumMod val="15000"/>
                  <a:lumOff val="8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dk1">
                        <a:lumMod val="50000"/>
                        <a:lumOff val="50000"/>
                      </a:schemeClr>
                    </a:solidFill>
                    <a:latin typeface="+mn-lt"/>
                    <a:ea typeface="+mn-ea"/>
                    <a:cs typeface="+mn-cs"/>
                  </a:defRPr>
                </a:pPr>
                <a:r>
                  <a:rPr lang="es-MX"/>
                  <a:t>UTILIDAD</a:t>
                </a:r>
              </a:p>
            </c:rich>
          </c:tx>
          <c:layout/>
          <c:overlay val="0"/>
          <c:spPr>
            <a:noFill/>
            <a:ln>
              <a:noFill/>
            </a:ln>
            <a:effectLst/>
          </c:spPr>
          <c:txPr>
            <a:bodyPr rot="-5400000" spcFirstLastPara="1" vertOverflow="ellipsis" vert="horz" wrap="square" anchor="ctr" anchorCtr="1"/>
            <a:lstStyle/>
            <a:p>
              <a:pPr>
                <a:defRPr sz="900" b="1" i="0" u="none" strike="noStrike" kern="1200" baseline="0">
                  <a:solidFill>
                    <a:schemeClr val="dk1">
                      <a:lumMod val="50000"/>
                      <a:lumOff val="50000"/>
                    </a:schemeClr>
                  </a:solidFill>
                  <a:latin typeface="+mn-lt"/>
                  <a:ea typeface="+mn-ea"/>
                  <a:cs typeface="+mn-cs"/>
                </a:defRPr>
              </a:pPr>
              <a:endParaRPr lang="es-MX"/>
            </a:p>
          </c:txPr>
        </c:title>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50000"/>
                    <a:lumOff val="50000"/>
                  </a:schemeClr>
                </a:solidFill>
                <a:latin typeface="+mn-lt"/>
                <a:ea typeface="+mn-ea"/>
                <a:cs typeface="+mn-cs"/>
              </a:defRPr>
            </a:pPr>
            <a:endParaRPr lang="es-MX"/>
          </a:p>
        </c:txPr>
        <c:crossAx val="447463104"/>
        <c:crosses val="autoZero"/>
        <c:crossBetween val="midCat"/>
      </c:valAx>
      <c:spPr>
        <a:noFill/>
        <a:ln>
          <a:noFill/>
        </a:ln>
        <a:effectLst/>
      </c:spPr>
    </c:plotArea>
    <c:plotVisOnly val="1"/>
    <c:dispBlanksAs val="gap"/>
    <c:showDLblsOverMax val="0"/>
  </c:chart>
  <c:spPr>
    <a:gradFill flip="none" rotWithShape="1">
      <a:gsLst>
        <a:gs pos="100000">
          <a:schemeClr val="lt1">
            <a:lumMod val="95000"/>
          </a:schemeClr>
        </a:gs>
        <a:gs pos="43000">
          <a:schemeClr val="lt1"/>
        </a:gs>
      </a:gsLst>
      <a:path path="circle">
        <a:fillToRect l="50000" t="50000" r="50000" b="50000"/>
      </a:path>
      <a:tileRect/>
    </a:gradFill>
    <a:ln w="9525" cap="flat" cmpd="sng" algn="ctr">
      <a:solidFill>
        <a:schemeClr val="dk1">
          <a:lumMod val="15000"/>
          <a:lumOff val="85000"/>
        </a:schemeClr>
      </a:solidFill>
      <a:round/>
    </a:ln>
    <a:effectLst/>
  </c:spPr>
  <c:txPr>
    <a:bodyPr/>
    <a:lstStyle/>
    <a:p>
      <a:pPr>
        <a:defRPr/>
      </a:pPr>
      <a:endParaRPr lang="es-MX"/>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withinLinear" id="15">
  <a:schemeClr val="accent2"/>
</cs:colorStyle>
</file>

<file path=xl/charts/style1.xml><?xml version="1.0" encoding="utf-8"?>
<cs:chartStyle xmlns:cs="http://schemas.microsoft.com/office/drawing/2012/chartStyle" xmlns:a="http://schemas.openxmlformats.org/drawingml/2006/main" id="244">
  <cs:axisTitle>
    <cs:lnRef idx="0"/>
    <cs:fillRef idx="0"/>
    <cs:effectRef idx="0"/>
    <cs:fontRef idx="minor">
      <a:schemeClr val="dk1">
        <a:lumMod val="50000"/>
        <a:lumOff val="50000"/>
      </a:schemeClr>
    </cs:fontRef>
    <cs:defRPr sz="900" b="1" kern="1200"/>
  </cs:axisTitle>
  <cs:categoryAxis>
    <cs:lnRef idx="0"/>
    <cs:fillRef idx="0"/>
    <cs:effectRef idx="0"/>
    <cs:fontRef idx="minor">
      <a:schemeClr val="dk1">
        <a:lumMod val="50000"/>
        <a:lumOff val="50000"/>
      </a:schemeClr>
    </cs:fontRef>
    <cs:spPr>
      <a:ln w="9525" cap="flat" cmpd="sng" algn="ctr">
        <a:solidFill>
          <a:schemeClr val="dk1">
            <a:lumMod val="15000"/>
            <a:lumOff val="85000"/>
          </a:schemeClr>
        </a:solidFill>
        <a:round/>
      </a:ln>
    </cs:spPr>
    <cs:defRPr sz="900" kern="1200"/>
  </cs:categoryAxis>
  <cs:chartArea>
    <cs:lnRef idx="0"/>
    <cs:fillRef idx="0"/>
    <cs:effectRef idx="0"/>
    <cs:fontRef idx="minor">
      <a:schemeClr val="dk1"/>
    </cs:fontRef>
    <cs:spPr>
      <a:gradFill flip="none" rotWithShape="1">
        <a:gsLst>
          <a:gs pos="100000">
            <a:schemeClr val="lt1">
              <a:lumMod val="95000"/>
            </a:schemeClr>
          </a:gs>
          <a:gs pos="43000">
            <a:schemeClr val="lt1"/>
          </a:gs>
        </a:gsLst>
        <a:path path="circle">
          <a:fillToRect l="50000" t="50000" r="50000" b="50000"/>
        </a:path>
        <a:tileRect/>
      </a:gra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50000"/>
        <a:lumOff val="50000"/>
      </a:schemeClr>
    </cs:fontRef>
    <cs:defRPr sz="900" kern="1200"/>
  </cs:dataLabel>
  <cs:dataLabelCallout>
    <cs:lnRef idx="0"/>
    <cs:fillRef idx="0"/>
    <cs:effectRef idx="0"/>
    <cs:fontRef idx="minor">
      <a:schemeClr val="dk1">
        <a:lumMod val="65000"/>
        <a:lumOff val="35000"/>
      </a:schemeClr>
    </cs:fontRef>
    <cs:spPr>
      <a:solidFill>
        <a:schemeClr val="dk1">
          <a:lumMod val="15000"/>
          <a:lumOff val="8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a:solidFill>
          <a:schemeClr val="phClr">
            <a:alpha val="20000"/>
          </a:schemeClr>
        </a:solidFill>
      </a:ln>
    </cs:spPr>
  </cs:dataPointLine>
  <cs:dataPointMarker>
    <cs:lnRef idx="0">
      <cs:styleClr val="auto"/>
    </cs:lnRef>
    <cs:fillRef idx="0">
      <cs:styleClr val="auto"/>
    </cs:fillRef>
    <cs:effectRef idx="0"/>
    <cs:fontRef idx="minor">
      <a:schemeClr val="tx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dk1">
        <a:lumMod val="50000"/>
        <a:lumOff val="50000"/>
      </a:schemeClr>
    </cs:fontRef>
    <cs:spPr>
      <a:ln w="9525" cap="rnd">
        <a:solidFill>
          <a:schemeClr val="dk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a:solidFill>
          <a:schemeClr val="dk1">
            <a:lumMod val="50000"/>
            <a:lumOff val="50000"/>
          </a:schemeClr>
        </a:solidFill>
      </a:ln>
    </cs:spPr>
  </cs:downBar>
  <cs:dropLine>
    <cs:lnRef idx="0"/>
    <cs:fillRef idx="0"/>
    <cs:effectRef idx="0"/>
    <cs:fontRef idx="minor">
      <a:schemeClr val="tx1"/>
    </cs:fontRef>
    <cs:spPr>
      <a:ln w="9525">
        <a:solidFill>
          <a:schemeClr val="dk1">
            <a:lumMod val="35000"/>
            <a:lumOff val="65000"/>
          </a:schemeClr>
        </a:solidFill>
      </a:ln>
    </cs:spPr>
  </cs:dropLine>
  <cs:errorBar>
    <cs:lnRef idx="0"/>
    <cs:fillRef idx="0"/>
    <cs:effectRef idx="0"/>
    <cs:fontRef idx="minor">
      <a:schemeClr val="tx1"/>
    </cs:fontRef>
    <cs:spPr>
      <a:ln w="9525">
        <a:solidFill>
          <a:schemeClr val="dk1">
            <a:lumMod val="50000"/>
            <a:lumOff val="50000"/>
          </a:schemeClr>
        </a:solidFill>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dk1">
            <a:lumMod val="15000"/>
            <a:lumOff val="85000"/>
          </a:schemeClr>
        </a:solidFill>
        <a:round/>
      </a:ln>
    </cs:spPr>
  </cs:gridlineMajor>
  <cs:gridlineMinor>
    <cs:lnRef idx="0"/>
    <cs:fillRef idx="0"/>
    <cs:effectRef idx="0"/>
    <cs:fontRef idx="minor">
      <a:schemeClr val="tx1"/>
    </cs:fontRef>
    <cs:spPr>
      <a:ln w="9525" cap="flat" cmpd="sng" algn="ctr">
        <a:solidFill>
          <a:schemeClr val="dk1">
            <a:lumMod val="5000"/>
            <a:lumOff val="95000"/>
          </a:schemeClr>
        </a:solidFill>
        <a:round/>
      </a:ln>
    </cs:spPr>
  </cs:gridlineMinor>
  <cs:hiLoLine>
    <cs:lnRef idx="0"/>
    <cs:fillRef idx="0"/>
    <cs:effectRef idx="0"/>
    <cs:fontRef idx="minor">
      <a:schemeClr val="tx1"/>
    </cs:fontRef>
    <cs:spPr>
      <a:ln w="9525">
        <a:solidFill>
          <a:schemeClr val="dk1">
            <a:lumMod val="35000"/>
            <a:lumOff val="65000"/>
          </a:schemeClr>
        </a:solidFill>
      </a:ln>
    </cs:spPr>
  </cs:hiLoLine>
  <cs:leaderLine>
    <cs:lnRef idx="0"/>
    <cs:fillRef idx="0"/>
    <cs:effectRef idx="0"/>
    <cs:fontRef idx="minor">
      <a:schemeClr val="tx1"/>
    </cs:fontRef>
    <cs:spPr>
      <a:ln w="9525">
        <a:solidFill>
          <a:schemeClr val="dk1">
            <a:lumMod val="35000"/>
            <a:lumOff val="65000"/>
          </a:schemeClr>
        </a:solidFill>
      </a:ln>
    </cs:spPr>
  </cs:leaderLine>
  <cs:legend>
    <cs:lnRef idx="0"/>
    <cs:fillRef idx="0"/>
    <cs:effectRef idx="0"/>
    <cs:fontRef idx="minor">
      <a:schemeClr val="dk1">
        <a:lumMod val="50000"/>
        <a:lumOff val="50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tx1">
        <a:lumMod val="50000"/>
        <a:lumOff val="50000"/>
      </a:schemeClr>
    </cs:fontRef>
    <cs:spPr>
      <a:ln w="9525">
        <a:solidFill>
          <a:schemeClr val="dk1">
            <a:lumMod val="15000"/>
            <a:lumOff val="85000"/>
          </a:schemeClr>
        </a:solidFill>
      </a:ln>
    </cs:spPr>
    <cs:defRPr sz="900" kern="1200"/>
  </cs:seriesAxis>
  <cs:seriesLine>
    <cs:lnRef idx="0"/>
    <cs:fillRef idx="0"/>
    <cs:effectRef idx="0"/>
    <cs:fontRef idx="minor">
      <a:schemeClr val="tx1"/>
    </cs:fontRef>
    <cs:spPr>
      <a:ln w="9525">
        <a:solidFill>
          <a:schemeClr val="dk1">
            <a:lumMod val="35000"/>
            <a:lumOff val="65000"/>
          </a:schemeClr>
        </a:solidFill>
      </a:ln>
    </cs:spPr>
  </cs:seriesLine>
  <cs:title>
    <cs:lnRef idx="0"/>
    <cs:fillRef idx="0"/>
    <cs:effectRef idx="0"/>
    <cs:fontRef idx="minor">
      <a:schemeClr val="dk1">
        <a:lumMod val="50000"/>
        <a:lumOff val="50000"/>
      </a:schemeClr>
    </cs:fontRef>
    <cs:defRPr sz="1600" b="0" kern="1200" spc="70" baseline="0"/>
  </cs:title>
  <cs:trendline>
    <cs:lnRef idx="0">
      <cs:styleClr val="0"/>
    </cs:lnRef>
    <cs:fillRef idx="0"/>
    <cs:effectRef idx="0"/>
    <cs:fontRef idx="minor">
      <a:schemeClr val="tx1"/>
    </cs:fontRef>
    <cs:spPr>
      <a:ln w="63500" cap="rnd" cmpd="sng" algn="ctr">
        <a:solidFill>
          <a:schemeClr val="phClr">
            <a:alpha val="25000"/>
          </a:schemeClr>
        </a:solidFill>
        <a:round/>
      </a:ln>
    </cs:spPr>
  </cs:trendline>
  <cs:trendlineLabel>
    <cs:lnRef idx="0"/>
    <cs:fillRef idx="0"/>
    <cs:effectRef idx="0"/>
    <cs:fontRef idx="minor">
      <a:schemeClr val="dk1">
        <a:lumMod val="50000"/>
        <a:lumOff val="50000"/>
      </a:schemeClr>
    </cs:fontRef>
    <cs:defRPr sz="900" kern="1200"/>
  </cs:trendlineLabel>
  <cs:upBar>
    <cs:lnRef idx="0"/>
    <cs:fillRef idx="0"/>
    <cs:effectRef idx="0"/>
    <cs:fontRef idx="minor">
      <a:schemeClr val="tx1"/>
    </cs:fontRef>
    <cs:spPr>
      <a:solidFill>
        <a:schemeClr val="lt1"/>
      </a:solidFill>
      <a:ln w="9525">
        <a:solidFill>
          <a:schemeClr val="dk1">
            <a:lumMod val="50000"/>
            <a:lumOff val="50000"/>
          </a:schemeClr>
        </a:solidFill>
      </a:ln>
    </cs:spPr>
  </cs:upBar>
  <cs:valueAxis>
    <cs:lnRef idx="0"/>
    <cs:fillRef idx="0"/>
    <cs:effectRef idx="0"/>
    <cs:fontRef idx="minor">
      <a:schemeClr val="dk1">
        <a:lumMod val="50000"/>
        <a:lumOff val="50000"/>
      </a:schemeClr>
    </cs:fontRef>
    <cs:defRPr sz="9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hyperlink" Target="#'Balance General'!A1"/><Relationship Id="rId2" Type="http://schemas.openxmlformats.org/officeDocument/2006/relationships/image" Target="../media/image2.jpg"/><Relationship Id="rId1" Type="http://schemas.openxmlformats.org/officeDocument/2006/relationships/image" Target="../media/image1.jpg"/><Relationship Id="rId5" Type="http://schemas.openxmlformats.org/officeDocument/2006/relationships/hyperlink" Target="#OBJETIVO!A1"/><Relationship Id="rId4" Type="http://schemas.openxmlformats.org/officeDocument/2006/relationships/hyperlink" Target="#'MARCO TEORICO'!A1"/></Relationships>
</file>

<file path=xl/drawings/_rels/drawing2.xml.rels><?xml version="1.0" encoding="UTF-8" standalone="yes"?>
<Relationships xmlns="http://schemas.openxmlformats.org/package/2006/relationships"><Relationship Id="rId2" Type="http://schemas.openxmlformats.org/officeDocument/2006/relationships/hyperlink" Target="#OBJETIVO!A1"/><Relationship Id="rId1" Type="http://schemas.openxmlformats.org/officeDocument/2006/relationships/hyperlink" Target="#'Balance General'!A1"/></Relationships>
</file>

<file path=xl/drawings/_rels/drawing3.xml.rels><?xml version="1.0" encoding="UTF-8" standalone="yes"?>
<Relationships xmlns="http://schemas.openxmlformats.org/package/2006/relationships"><Relationship Id="rId2" Type="http://schemas.openxmlformats.org/officeDocument/2006/relationships/hyperlink" Target="#'MARCO TEORICO'!A1"/><Relationship Id="rId1" Type="http://schemas.openxmlformats.org/officeDocument/2006/relationships/hyperlink" Target="#'Balance General'!A1"/></Relationships>
</file>

<file path=xl/drawings/_rels/drawing4.xml.rels><?xml version="1.0" encoding="UTF-8" standalone="yes"?>
<Relationships xmlns="http://schemas.openxmlformats.org/package/2006/relationships"><Relationship Id="rId3" Type="http://schemas.openxmlformats.org/officeDocument/2006/relationships/hyperlink" Target="#OBJETIVO!A1"/><Relationship Id="rId2" Type="http://schemas.openxmlformats.org/officeDocument/2006/relationships/hyperlink" Target="#'MARCO TEORICO'!A1"/><Relationship Id="rId1" Type="http://schemas.openxmlformats.org/officeDocument/2006/relationships/hyperlink" Target="#'Balance General'!A1"/></Relationships>
</file>

<file path=xl/drawings/_rels/drawing5.xml.rels><?xml version="1.0" encoding="UTF-8" standalone="yes"?>
<Relationships xmlns="http://schemas.openxmlformats.org/package/2006/relationships"><Relationship Id="rId3" Type="http://schemas.openxmlformats.org/officeDocument/2006/relationships/hyperlink" Target="#'MARCO TEORICO'!A1"/><Relationship Id="rId2" Type="http://schemas.openxmlformats.org/officeDocument/2006/relationships/hyperlink" Target="#'Balance General'!A1"/><Relationship Id="rId1" Type="http://schemas.openxmlformats.org/officeDocument/2006/relationships/chart" Target="../charts/chart1.xml"/><Relationship Id="rId4" Type="http://schemas.openxmlformats.org/officeDocument/2006/relationships/hyperlink" Target="#OBJETIVO!A1"/></Relationships>
</file>

<file path=xl/drawings/_rels/drawing6.xml.rels><?xml version="1.0" encoding="UTF-8" standalone="yes"?>
<Relationships xmlns="http://schemas.openxmlformats.org/package/2006/relationships"><Relationship Id="rId3" Type="http://schemas.openxmlformats.org/officeDocument/2006/relationships/hyperlink" Target="#OBJETIVO!A1"/><Relationship Id="rId2" Type="http://schemas.openxmlformats.org/officeDocument/2006/relationships/hyperlink" Target="#'MARCO TEORICO'!A1"/><Relationship Id="rId1" Type="http://schemas.openxmlformats.org/officeDocument/2006/relationships/hyperlink" Target="#'Balance General'!A1"/></Relationships>
</file>

<file path=xl/drawings/_rels/drawing7.xml.rels><?xml version="1.0" encoding="UTF-8" standalone="yes"?>
<Relationships xmlns="http://schemas.openxmlformats.org/package/2006/relationships"><Relationship Id="rId3" Type="http://schemas.openxmlformats.org/officeDocument/2006/relationships/hyperlink" Target="#'MARCO TEORICO'!A1"/><Relationship Id="rId2" Type="http://schemas.openxmlformats.org/officeDocument/2006/relationships/hyperlink" Target="#OBJETIVO!A1"/><Relationship Id="rId1" Type="http://schemas.openxmlformats.org/officeDocument/2006/relationships/hyperlink" Target="#'Balance General'!A1"/></Relationships>
</file>

<file path=xl/drawings/_rels/drawing8.xml.rels><?xml version="1.0" encoding="UTF-8" standalone="yes"?>
<Relationships xmlns="http://schemas.openxmlformats.org/package/2006/relationships"><Relationship Id="rId3" Type="http://schemas.openxmlformats.org/officeDocument/2006/relationships/hyperlink" Target="#'MARCO TEORICO'!A1"/><Relationship Id="rId2" Type="http://schemas.openxmlformats.org/officeDocument/2006/relationships/hyperlink" Target="#OBJETIVO!A1"/><Relationship Id="rId1" Type="http://schemas.openxmlformats.org/officeDocument/2006/relationships/hyperlink" Target="#'Balance General'!A1"/></Relationships>
</file>

<file path=xl/drawings/_rels/drawing9.xml.rels><?xml version="1.0" encoding="UTF-8" standalone="yes"?>
<Relationships xmlns="http://schemas.openxmlformats.org/package/2006/relationships"><Relationship Id="rId3" Type="http://schemas.openxmlformats.org/officeDocument/2006/relationships/hyperlink" Target="#OBJETIVO!A1"/><Relationship Id="rId2" Type="http://schemas.openxmlformats.org/officeDocument/2006/relationships/hyperlink" Target="#'MARCO TEORICO'!A1"/><Relationship Id="rId1" Type="http://schemas.openxmlformats.org/officeDocument/2006/relationships/hyperlink" Target="#'Balance General'!A1"/></Relationships>
</file>

<file path=xl/drawings/_rels/drawing10.xml.rels><?xml version="1.0" encoding="UTF-8" standalone="yes"?>
<Relationships xmlns="http://schemas.openxmlformats.org/package/2006/relationships"><Relationship Id="rId3" Type="http://schemas.openxmlformats.org/officeDocument/2006/relationships/hyperlink" Target="#'MARCO TEORICO'!A1"/><Relationship Id="rId2" Type="http://schemas.openxmlformats.org/officeDocument/2006/relationships/hyperlink" Target="#OBJETIVO!A1"/><Relationship Id="rId1" Type="http://schemas.openxmlformats.org/officeDocument/2006/relationships/hyperlink" Target="#'Balance General'!A1"/></Relationships>
</file>

<file path=xl/drawings/_rels/drawing11.xml.rels><?xml version="1.0" encoding="UTF-8" standalone="yes"?>
<Relationships xmlns="http://schemas.openxmlformats.org/package/2006/relationships"><Relationship Id="rId3" Type="http://schemas.openxmlformats.org/officeDocument/2006/relationships/hyperlink" Target="#OBJETIVO!A1"/><Relationship Id="rId2" Type="http://schemas.openxmlformats.org/officeDocument/2006/relationships/hyperlink" Target="#'MARCO TEORICO'!A1"/><Relationship Id="rId1" Type="http://schemas.openxmlformats.org/officeDocument/2006/relationships/hyperlink" Target="#'Balance General'!A1"/></Relationships>
</file>

<file path=xl/drawings/_rels/drawing12.xml.rels><?xml version="1.0" encoding="UTF-8" standalone="yes"?>
<Relationships xmlns="http://schemas.openxmlformats.org/package/2006/relationships"><Relationship Id="rId3" Type="http://schemas.openxmlformats.org/officeDocument/2006/relationships/hyperlink" Target="#'MARCO TEORICO'!A1"/><Relationship Id="rId2" Type="http://schemas.openxmlformats.org/officeDocument/2006/relationships/hyperlink" Target="#OBJETIVO!A1"/><Relationship Id="rId1" Type="http://schemas.openxmlformats.org/officeDocument/2006/relationships/hyperlink" Target="#'Balance General'!A1"/></Relationships>
</file>

<file path=xl/drawings/drawing1.xml><?xml version="1.0" encoding="utf-8"?>
<xdr:wsDr xmlns:xdr="http://schemas.openxmlformats.org/drawingml/2006/spreadsheetDrawing" xmlns:a="http://schemas.openxmlformats.org/drawingml/2006/main">
  <xdr:twoCellAnchor>
    <xdr:from>
      <xdr:col>4</xdr:col>
      <xdr:colOff>0</xdr:colOff>
      <xdr:row>3</xdr:row>
      <xdr:rowOff>57150</xdr:rowOff>
    </xdr:from>
    <xdr:to>
      <xdr:col>5</xdr:col>
      <xdr:colOff>38100</xdr:colOff>
      <xdr:row>7</xdr:row>
      <xdr:rowOff>104775</xdr:rowOff>
    </xdr:to>
    <xdr:pic>
      <xdr:nvPicPr>
        <xdr:cNvPr id="2" name="image00.jpg"/>
        <xdr:cNvPicPr preferRelativeResize="0"/>
      </xdr:nvPicPr>
      <xdr:blipFill>
        <a:blip xmlns:r="http://schemas.openxmlformats.org/officeDocument/2006/relationships" r:embed="rId1" cstate="print"/>
        <a:stretch>
          <a:fillRect/>
        </a:stretch>
      </xdr:blipFill>
      <xdr:spPr>
        <a:xfrm>
          <a:off x="2286000" y="885825"/>
          <a:ext cx="800100" cy="819150"/>
        </a:xfrm>
        <a:prstGeom prst="rect">
          <a:avLst/>
        </a:prstGeom>
        <a:noFill/>
      </xdr:spPr>
    </xdr:pic>
    <xdr:clientData fLocksWithSheet="0"/>
  </xdr:twoCellAnchor>
  <xdr:twoCellAnchor>
    <xdr:from>
      <xdr:col>10</xdr:col>
      <xdr:colOff>619125</xdr:colOff>
      <xdr:row>3</xdr:row>
      <xdr:rowOff>47625</xdr:rowOff>
    </xdr:from>
    <xdr:to>
      <xdr:col>12</xdr:col>
      <xdr:colOff>152400</xdr:colOff>
      <xdr:row>7</xdr:row>
      <xdr:rowOff>123825</xdr:rowOff>
    </xdr:to>
    <xdr:pic>
      <xdr:nvPicPr>
        <xdr:cNvPr id="3" name="image01.jpg" descr="http://www.escom.ipn.mx/Conocenos/PublishingImages/fotoEscudoESCOM.jpg"/>
        <xdr:cNvPicPr preferRelativeResize="0"/>
      </xdr:nvPicPr>
      <xdr:blipFill>
        <a:blip xmlns:r="http://schemas.openxmlformats.org/officeDocument/2006/relationships" r:embed="rId2" cstate="print"/>
        <a:stretch>
          <a:fillRect/>
        </a:stretch>
      </xdr:blipFill>
      <xdr:spPr>
        <a:xfrm>
          <a:off x="7477125" y="876300"/>
          <a:ext cx="1057275" cy="847725"/>
        </a:xfrm>
        <a:prstGeom prst="rect">
          <a:avLst/>
        </a:prstGeom>
        <a:noFill/>
      </xdr:spPr>
    </xdr:pic>
    <xdr:clientData fLocksWithSheet="0"/>
  </xdr:twoCellAnchor>
  <mc:AlternateContent xmlns:mc="http://schemas.openxmlformats.org/markup-compatibility/2006">
    <mc:Choice xmlns:a14="http://schemas.microsoft.com/office/drawing/2010/main" Requires="a14">
      <xdr:twoCellAnchor>
        <xdr:from>
          <xdr:col>3</xdr:col>
          <xdr:colOff>313764</xdr:colOff>
          <xdr:row>0</xdr:row>
          <xdr:rowOff>114299</xdr:rowOff>
        </xdr:from>
        <xdr:to>
          <xdr:col>5</xdr:col>
          <xdr:colOff>4482</xdr:colOff>
          <xdr:row>0</xdr:row>
          <xdr:rowOff>493058</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000" b="0" i="0" u="none" strike="noStrike" baseline="0">
                  <a:solidFill>
                    <a:srgbClr val="000000"/>
                  </a:solidFill>
                  <a:latin typeface="Century Gothic"/>
                </a:rPr>
                <a:t>INGRESO DE DATOS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342900</xdr:colOff>
          <xdr:row>0</xdr:row>
          <xdr:rowOff>114300</xdr:rowOff>
        </xdr:from>
        <xdr:to>
          <xdr:col>12</xdr:col>
          <xdr:colOff>581025</xdr:colOff>
          <xdr:row>0</xdr:row>
          <xdr:rowOff>476250</xdr:rowOff>
        </xdr:to>
        <xdr:sp macro="" textlink="">
          <xdr:nvSpPr>
            <xdr:cNvPr id="1028" name="Button 4" hidden="1">
              <a:extLst>
                <a:ext uri="{63B3BB69-23CF-44E3-9099-C40C66FF867C}">
                  <a14:compatExt spid="_x0000_s102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000" b="0" i="0" u="none" strike="noStrike" baseline="0">
                  <a:solidFill>
                    <a:srgbClr val="000000"/>
                  </a:solidFill>
                  <a:latin typeface="Century Gothic"/>
                </a:rPr>
                <a:t>SIMULADOR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268941</xdr:colOff>
          <xdr:row>0</xdr:row>
          <xdr:rowOff>114299</xdr:rowOff>
        </xdr:from>
        <xdr:to>
          <xdr:col>6</xdr:col>
          <xdr:colOff>699807</xdr:colOff>
          <xdr:row>0</xdr:row>
          <xdr:rowOff>515470</xdr:rowOff>
        </xdr:to>
        <xdr:sp macro="" textlink="">
          <xdr:nvSpPr>
            <xdr:cNvPr id="1029" name="Button 5"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000" b="0" i="0" u="none" strike="noStrike" baseline="0">
                  <a:solidFill>
                    <a:srgbClr val="000000"/>
                  </a:solidFill>
                  <a:latin typeface="Century Gothic"/>
                </a:rPr>
                <a:t>COSTO DE PRODUCCIÓN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201705</xdr:colOff>
          <xdr:row>0</xdr:row>
          <xdr:rowOff>114299</xdr:rowOff>
        </xdr:from>
        <xdr:to>
          <xdr:col>8</xdr:col>
          <xdr:colOff>638174</xdr:colOff>
          <xdr:row>0</xdr:row>
          <xdr:rowOff>481852</xdr:rowOff>
        </xdr:to>
        <xdr:sp macro="" textlink="">
          <xdr:nvSpPr>
            <xdr:cNvPr id="1030" name="Button 6" hidden="1">
              <a:extLst>
                <a:ext uri="{63B3BB69-23CF-44E3-9099-C40C66FF867C}">
                  <a14:compatExt spid="_x0000_s103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000" b="0" i="0" u="none" strike="noStrike" baseline="0">
                  <a:solidFill>
                    <a:srgbClr val="000000"/>
                  </a:solidFill>
                  <a:latin typeface="Century Gothic"/>
                </a:rPr>
                <a:t>DEPRECIACIÓN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57150</xdr:colOff>
          <xdr:row>0</xdr:row>
          <xdr:rowOff>114300</xdr:rowOff>
        </xdr:from>
        <xdr:to>
          <xdr:col>11</xdr:col>
          <xdr:colOff>171450</xdr:colOff>
          <xdr:row>0</xdr:row>
          <xdr:rowOff>476250</xdr:rowOff>
        </xdr:to>
        <xdr:sp macro="" textlink="">
          <xdr:nvSpPr>
            <xdr:cNvPr id="1031" name="Button 7" hidden="1">
              <a:extLst>
                <a:ext uri="{63B3BB69-23CF-44E3-9099-C40C66FF867C}">
                  <a14:compatExt spid="_x0000_s103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s-MX" sz="900" b="0" i="0" u="none" strike="noStrike" baseline="0">
                  <a:solidFill>
                    <a:srgbClr val="000000"/>
                  </a:solidFill>
                  <a:latin typeface="Century Gothic"/>
                </a:rPr>
                <a:t>GASTOS ADMINISTRATIVOS Y DE VENTA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38100</xdr:colOff>
          <xdr:row>0</xdr:row>
          <xdr:rowOff>114300</xdr:rowOff>
        </xdr:from>
        <xdr:to>
          <xdr:col>14</xdr:col>
          <xdr:colOff>104775</xdr:colOff>
          <xdr:row>0</xdr:row>
          <xdr:rowOff>476250</xdr:rowOff>
        </xdr:to>
        <xdr:sp macro="" textlink="">
          <xdr:nvSpPr>
            <xdr:cNvPr id="1032" name="Button 8" hidden="1">
              <a:extLst>
                <a:ext uri="{63B3BB69-23CF-44E3-9099-C40C66FF867C}">
                  <a14:compatExt spid="_x0000_s1032"/>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es-MX" sz="1100" b="0" i="0" u="none" strike="noStrike" baseline="0">
                  <a:solidFill>
                    <a:srgbClr val="000000"/>
                  </a:solidFill>
                  <a:latin typeface="Century Gothic"/>
                </a:rPr>
                <a:t>FNE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352425</xdr:colOff>
          <xdr:row>0</xdr:row>
          <xdr:rowOff>114300</xdr:rowOff>
        </xdr:from>
        <xdr:to>
          <xdr:col>17</xdr:col>
          <xdr:colOff>238125</xdr:colOff>
          <xdr:row>0</xdr:row>
          <xdr:rowOff>476250</xdr:rowOff>
        </xdr:to>
        <xdr:sp macro="" textlink="">
          <xdr:nvSpPr>
            <xdr:cNvPr id="1033" name="Button 9"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s-MX" sz="900" b="0" i="0" u="none" strike="noStrike" baseline="0">
                  <a:solidFill>
                    <a:srgbClr val="000000"/>
                  </a:solidFill>
                  <a:latin typeface="Century Gothic"/>
                </a:rPr>
                <a:t>MÉTODOS PARA LA EVALUACIÓN DE PROYECTOS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514350</xdr:colOff>
          <xdr:row>0</xdr:row>
          <xdr:rowOff>114300</xdr:rowOff>
        </xdr:from>
        <xdr:to>
          <xdr:col>18</xdr:col>
          <xdr:colOff>619125</xdr:colOff>
          <xdr:row>0</xdr:row>
          <xdr:rowOff>485775</xdr:rowOff>
        </xdr:to>
        <xdr:sp macro="" textlink="">
          <xdr:nvSpPr>
            <xdr:cNvPr id="1036" name="Button 12" hidden="1">
              <a:extLst>
                <a:ext uri="{63B3BB69-23CF-44E3-9099-C40C66FF867C}">
                  <a14:compatExt spid="_x0000_s1036"/>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s-MX" sz="900" b="0" i="0" u="none" strike="noStrike" baseline="0">
                  <a:solidFill>
                    <a:srgbClr val="000000"/>
                  </a:solidFill>
                  <a:latin typeface="Century Gothic"/>
                </a:rPr>
                <a:t>INFORME</a:t>
              </a:r>
            </a:p>
          </xdr:txBody>
        </xdr:sp>
        <xdr:clientData fPrintsWithSheet="0"/>
      </xdr:twoCellAnchor>
    </mc:Choice>
    <mc:Fallback/>
  </mc:AlternateContent>
  <xdr:twoCellAnchor>
    <xdr:from>
      <xdr:col>19</xdr:col>
      <xdr:colOff>78441</xdr:colOff>
      <xdr:row>0</xdr:row>
      <xdr:rowOff>112058</xdr:rowOff>
    </xdr:from>
    <xdr:to>
      <xdr:col>21</xdr:col>
      <xdr:colOff>87200</xdr:colOff>
      <xdr:row>0</xdr:row>
      <xdr:rowOff>484300</xdr:rowOff>
    </xdr:to>
    <xdr:sp macro="" textlink="">
      <xdr:nvSpPr>
        <xdr:cNvPr id="13" name="Rectángulo 12">
          <a:hlinkClick xmlns:r="http://schemas.openxmlformats.org/officeDocument/2006/relationships" r:id="rId3"/>
        </xdr:cNvPr>
        <xdr:cNvSpPr/>
      </xdr:nvSpPr>
      <xdr:spPr>
        <a:xfrm>
          <a:off x="14556441" y="112058"/>
          <a:ext cx="1532759" cy="372242"/>
        </a:xfrm>
        <a:prstGeom prst="rect">
          <a:avLst/>
        </a:prstGeom>
        <a:solidFill>
          <a:schemeClr val="bg1">
            <a:lumMod val="95000"/>
          </a:schemeClr>
        </a:solidFill>
        <a:effectLst>
          <a:outerShdw blurRad="50800" dist="38100" dir="2700000" algn="tl" rotWithShape="0">
            <a:prstClr val="black">
              <a:alpha val="40000"/>
            </a:prstClr>
          </a:outerShdw>
        </a:effectLst>
      </xdr:spPr>
      <xdr:style>
        <a:lnRef idx="1">
          <a:schemeClr val="accent3"/>
        </a:lnRef>
        <a:fillRef idx="2">
          <a:schemeClr val="accent3"/>
        </a:fillRef>
        <a:effectRef idx="1">
          <a:schemeClr val="accent3"/>
        </a:effectRef>
        <a:fontRef idx="minor">
          <a:schemeClr val="dk1"/>
        </a:fontRef>
      </xdr:style>
      <xdr:txBody>
        <a:bodyPr vertOverflow="clip" horzOverflow="clip" rtlCol="0" anchor="ctr"/>
        <a:lstStyle/>
        <a:p>
          <a:pPr algn="ctr"/>
          <a:r>
            <a:rPr lang="es-MX" sz="900"/>
            <a:t>BALANCE </a:t>
          </a:r>
          <a:r>
            <a:rPr lang="es-MX" sz="900">
              <a:latin typeface="Century Gothic" panose="020B0502020202020204" pitchFamily="34" charset="0"/>
            </a:rPr>
            <a:t>GENERAL</a:t>
          </a:r>
        </a:p>
        <a:p>
          <a:pPr algn="l"/>
          <a:endParaRPr lang="es-MX" sz="900"/>
        </a:p>
      </xdr:txBody>
    </xdr:sp>
    <xdr:clientData/>
  </xdr:twoCellAnchor>
  <xdr:twoCellAnchor>
    <xdr:from>
      <xdr:col>0</xdr:col>
      <xdr:colOff>415479</xdr:colOff>
      <xdr:row>0</xdr:row>
      <xdr:rowOff>39653</xdr:rowOff>
    </xdr:from>
    <xdr:to>
      <xdr:col>1</xdr:col>
      <xdr:colOff>425823</xdr:colOff>
      <xdr:row>0</xdr:row>
      <xdr:rowOff>493059</xdr:rowOff>
    </xdr:to>
    <xdr:sp macro="" textlink="">
      <xdr:nvSpPr>
        <xdr:cNvPr id="16" name="Rectángulo 15">
          <a:hlinkClick xmlns:r="http://schemas.openxmlformats.org/officeDocument/2006/relationships" r:id="rId4"/>
        </xdr:cNvPr>
        <xdr:cNvSpPr/>
      </xdr:nvSpPr>
      <xdr:spPr>
        <a:xfrm>
          <a:off x="415479" y="39653"/>
          <a:ext cx="772344" cy="453406"/>
        </a:xfrm>
        <a:prstGeom prst="rect">
          <a:avLst/>
        </a:prstGeom>
        <a:solidFill>
          <a:schemeClr val="bg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100">
              <a:solidFill>
                <a:schemeClr val="tx1"/>
              </a:solidFill>
            </a:rPr>
            <a:t>MARCO TEORICO</a:t>
          </a:r>
          <a:r>
            <a:rPr lang="es-MX" sz="1100" b="0" i="0" u="none" strike="noStrike">
              <a:solidFill>
                <a:schemeClr val="lt1"/>
              </a:solidFill>
              <a:effectLst/>
              <a:latin typeface="+mn-lt"/>
              <a:ea typeface="+mn-ea"/>
              <a:cs typeface="+mn-cs"/>
            </a:rPr>
            <a:t>  </a:t>
          </a:r>
          <a:endParaRPr lang="es-MX" sz="1100">
            <a:solidFill>
              <a:schemeClr val="tx1"/>
            </a:solidFill>
          </a:endParaRPr>
        </a:p>
      </xdr:txBody>
    </xdr:sp>
    <xdr:clientData/>
  </xdr:twoCellAnchor>
  <xdr:twoCellAnchor>
    <xdr:from>
      <xdr:col>2</xdr:col>
      <xdr:colOff>126091</xdr:colOff>
      <xdr:row>0</xdr:row>
      <xdr:rowOff>105410</xdr:rowOff>
    </xdr:from>
    <xdr:to>
      <xdr:col>3</xdr:col>
      <xdr:colOff>134471</xdr:colOff>
      <xdr:row>0</xdr:row>
      <xdr:rowOff>448236</xdr:rowOff>
    </xdr:to>
    <xdr:sp macro="" textlink="">
      <xdr:nvSpPr>
        <xdr:cNvPr id="17" name="Rectángulo 16">
          <a:hlinkClick xmlns:r="http://schemas.openxmlformats.org/officeDocument/2006/relationships" r:id="rId5"/>
        </xdr:cNvPr>
        <xdr:cNvSpPr/>
      </xdr:nvSpPr>
      <xdr:spPr>
        <a:xfrm>
          <a:off x="1650091" y="105410"/>
          <a:ext cx="770380" cy="342826"/>
        </a:xfrm>
        <a:prstGeom prst="rect">
          <a:avLst/>
        </a:prstGeom>
        <a:solidFill>
          <a:schemeClr val="bg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100">
              <a:solidFill>
                <a:schemeClr val="tx1"/>
              </a:solidFill>
            </a:rPr>
            <a:t>OBJETIVO</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57150</xdr:colOff>
      <xdr:row>5</xdr:row>
      <xdr:rowOff>28575</xdr:rowOff>
    </xdr:from>
    <xdr:to>
      <xdr:col>6</xdr:col>
      <xdr:colOff>85725</xdr:colOff>
      <xdr:row>10</xdr:row>
      <xdr:rowOff>142875</xdr:rowOff>
    </xdr:to>
    <xdr:sp macro="" textlink="">
      <xdr:nvSpPr>
        <xdr:cNvPr id="2" name="CuadroTexto 1">
          <a:extLst>
            <a:ext uri="{FF2B5EF4-FFF2-40B4-BE49-F238E27FC236}">
              <a16:creationId xmlns:a16="http://schemas.microsoft.com/office/drawing/2014/main" id="{A181C418-CA4A-4AC9-81E2-05AE9D6688ED}"/>
            </a:ext>
          </a:extLst>
        </xdr:cNvPr>
        <xdr:cNvSpPr txBox="1"/>
      </xdr:nvSpPr>
      <xdr:spPr>
        <a:xfrm>
          <a:off x="819150" y="1390650"/>
          <a:ext cx="3838575" cy="1066800"/>
        </a:xfrm>
        <a:prstGeom prst="rect">
          <a:avLst/>
        </a:prstGeom>
        <a:solidFill>
          <a:schemeClr val="bg2">
            <a:lumMod val="10000"/>
            <a:alpha val="54902"/>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rtl="0" fontAlgn="ctr"/>
          <a:r>
            <a:rPr lang="es-MX" sz="1200" b="0" i="0" baseline="0">
              <a:solidFill>
                <a:schemeClr val="bg1"/>
              </a:solidFill>
              <a:effectLst/>
              <a:latin typeface="+mj-lt"/>
              <a:ea typeface="+mn-ea"/>
              <a:cs typeface="+mn-cs"/>
            </a:rPr>
            <a:t>Determinación del monto de la inversión (Io)</a:t>
          </a:r>
        </a:p>
        <a:p>
          <a:pPr rtl="0" fontAlgn="ctr"/>
          <a:r>
            <a:rPr lang="es-MX" sz="1200" b="0" i="0" baseline="0">
              <a:solidFill>
                <a:schemeClr val="bg1"/>
              </a:solidFill>
              <a:effectLst/>
              <a:latin typeface="+mj-lt"/>
              <a:ea typeface="+mn-ea"/>
              <a:cs typeface="+mn-cs"/>
            </a:rPr>
            <a:t>Tasa mínima de aceptación del proyecto (k) o (Tmar)</a:t>
          </a:r>
        </a:p>
        <a:p>
          <a:pPr rtl="0" fontAlgn="ctr"/>
          <a:r>
            <a:rPr lang="es-MX" sz="1200" b="0" i="0" baseline="0">
              <a:solidFill>
                <a:schemeClr val="bg1"/>
              </a:solidFill>
              <a:effectLst/>
              <a:latin typeface="+mj-lt"/>
              <a:ea typeface="+mn-ea"/>
              <a:cs typeface="+mn-cs"/>
            </a:rPr>
            <a:t>Vida del proyecto (n)</a:t>
          </a:r>
        </a:p>
        <a:p>
          <a:pPr rtl="0" fontAlgn="ctr"/>
          <a:r>
            <a:rPr lang="es-MX" sz="1200" b="0" i="0" baseline="0">
              <a:solidFill>
                <a:schemeClr val="bg1"/>
              </a:solidFill>
              <a:effectLst/>
              <a:latin typeface="+mj-lt"/>
              <a:ea typeface="+mn-ea"/>
              <a:cs typeface="+mn-cs"/>
            </a:rPr>
            <a:t>Flujos netos de efectivo (FNE)</a:t>
          </a:r>
        </a:p>
        <a:p>
          <a:pPr rtl="0" fontAlgn="ctr"/>
          <a:r>
            <a:rPr lang="es-MX" sz="1200" b="0" i="0" baseline="0">
              <a:solidFill>
                <a:schemeClr val="bg1"/>
              </a:solidFill>
              <a:effectLst/>
              <a:latin typeface="+mj-lt"/>
              <a:ea typeface="+mn-ea"/>
              <a:cs typeface="+mn-cs"/>
            </a:rPr>
            <a:t>Aplicación de un método para evaluar proyectos.</a:t>
          </a:r>
        </a:p>
        <a:p>
          <a:endParaRPr lang="es-MX" sz="1100"/>
        </a:p>
      </xdr:txBody>
    </xdr:sp>
    <xdr:clientData/>
  </xdr:twoCellAnchor>
  <xdr:twoCellAnchor>
    <xdr:from>
      <xdr:col>8</xdr:col>
      <xdr:colOff>514350</xdr:colOff>
      <xdr:row>6</xdr:row>
      <xdr:rowOff>76200</xdr:rowOff>
    </xdr:from>
    <xdr:to>
      <xdr:col>13</xdr:col>
      <xdr:colOff>247650</xdr:colOff>
      <xdr:row>10</xdr:row>
      <xdr:rowOff>0</xdr:rowOff>
    </xdr:to>
    <xdr:sp macro="" textlink="">
      <xdr:nvSpPr>
        <xdr:cNvPr id="3" name="CuadroTexto 2">
          <a:extLst>
            <a:ext uri="{FF2B5EF4-FFF2-40B4-BE49-F238E27FC236}">
              <a16:creationId xmlns:a16="http://schemas.microsoft.com/office/drawing/2014/main" id="{A2C77DDC-3892-45B0-A071-55C0A80C0ACC}"/>
            </a:ext>
          </a:extLst>
        </xdr:cNvPr>
        <xdr:cNvSpPr txBox="1"/>
      </xdr:nvSpPr>
      <xdr:spPr>
        <a:xfrm>
          <a:off x="6610350" y="1628775"/>
          <a:ext cx="3543300" cy="685800"/>
        </a:xfrm>
        <a:prstGeom prst="rect">
          <a:avLst/>
        </a:prstGeom>
        <a:solidFill>
          <a:schemeClr val="bg2">
            <a:lumMod val="10000"/>
            <a:alpha val="54902"/>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rtl="0" fontAlgn="ctr"/>
          <a:r>
            <a:rPr lang="es-MX" sz="1200" b="0" i="0" baseline="0">
              <a:solidFill>
                <a:schemeClr val="bg1"/>
              </a:solidFill>
              <a:effectLst/>
              <a:latin typeface="+mj-lt"/>
              <a:ea typeface="+mn-ea"/>
              <a:cs typeface="+mn-cs"/>
            </a:rPr>
            <a:t>Flujos netos de efectivo (FNE)</a:t>
          </a:r>
        </a:p>
        <a:p>
          <a:pPr rtl="0" fontAlgn="ctr"/>
          <a:r>
            <a:rPr lang="es-MX" sz="1200" b="0" i="0" baseline="0">
              <a:solidFill>
                <a:schemeClr val="bg1"/>
              </a:solidFill>
              <a:effectLst/>
              <a:latin typeface="+mj-lt"/>
              <a:ea typeface="+mn-ea"/>
              <a:cs typeface="+mn-cs"/>
            </a:rPr>
            <a:t>Aplicación de un método para evaluar proyectos.</a:t>
          </a:r>
        </a:p>
        <a:p>
          <a:endParaRPr lang="es-MX" sz="1100"/>
        </a:p>
      </xdr:txBody>
    </xdr:sp>
    <xdr:clientData/>
  </xdr:twoCellAnchor>
  <xdr:twoCellAnchor>
    <xdr:from>
      <xdr:col>3</xdr:col>
      <xdr:colOff>542925</xdr:colOff>
      <xdr:row>15</xdr:row>
      <xdr:rowOff>19050</xdr:rowOff>
    </xdr:from>
    <xdr:to>
      <xdr:col>11</xdr:col>
      <xdr:colOff>552449</xdr:colOff>
      <xdr:row>26</xdr:row>
      <xdr:rowOff>133351</xdr:rowOff>
    </xdr:to>
    <xdr:sp macro="" textlink="">
      <xdr:nvSpPr>
        <xdr:cNvPr id="4" name="CuadroTexto 3">
          <a:extLst>
            <a:ext uri="{FF2B5EF4-FFF2-40B4-BE49-F238E27FC236}">
              <a16:creationId xmlns:a16="http://schemas.microsoft.com/office/drawing/2014/main" id="{6C61E222-BB84-41AA-9BB5-8179A7D3016B}"/>
            </a:ext>
          </a:extLst>
        </xdr:cNvPr>
        <xdr:cNvSpPr txBox="1"/>
      </xdr:nvSpPr>
      <xdr:spPr>
        <a:xfrm>
          <a:off x="2828925" y="3114675"/>
          <a:ext cx="6105524" cy="2209801"/>
        </a:xfrm>
        <a:prstGeom prst="rect">
          <a:avLst/>
        </a:prstGeom>
        <a:solidFill>
          <a:schemeClr val="tx1">
            <a:alpha val="54902"/>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1400" baseline="0">
              <a:solidFill>
                <a:schemeClr val="bg1"/>
              </a:solidFill>
              <a:effectLst/>
              <a:latin typeface="+mn-lt"/>
              <a:ea typeface="+mn-ea"/>
              <a:cs typeface="+mn-cs"/>
            </a:rPr>
            <a:t>Mediante recuperación de inversión:</a:t>
          </a:r>
        </a:p>
        <a:p>
          <a:r>
            <a:rPr lang="es-MX" sz="1400" baseline="0">
              <a:solidFill>
                <a:schemeClr val="bg1"/>
              </a:solidFill>
              <a:effectLst/>
              <a:latin typeface="+mn-lt"/>
              <a:ea typeface="+mn-ea"/>
              <a:cs typeface="+mn-cs"/>
            </a:rPr>
            <a:t>	1. Por periodo de recuperación</a:t>
          </a:r>
        </a:p>
        <a:p>
          <a:r>
            <a:rPr lang="es-MX" sz="1400" baseline="0">
              <a:solidFill>
                <a:schemeClr val="bg1"/>
              </a:solidFill>
              <a:effectLst/>
              <a:latin typeface="+mn-lt"/>
              <a:ea typeface="+mn-ea"/>
              <a:cs typeface="+mn-cs"/>
            </a:rPr>
            <a:t>	2. Por periodo de recuperación descontado</a:t>
          </a:r>
        </a:p>
        <a:p>
          <a:r>
            <a:rPr lang="es-MX" sz="1400" baseline="0">
              <a:solidFill>
                <a:schemeClr val="bg1"/>
              </a:solidFill>
              <a:effectLst/>
              <a:latin typeface="+mn-lt"/>
              <a:ea typeface="+mn-ea"/>
              <a:cs typeface="+mn-cs"/>
            </a:rPr>
            <a:t>Mediante criterio contable:</a:t>
          </a:r>
        </a:p>
        <a:p>
          <a:r>
            <a:rPr lang="es-MX" sz="1400" baseline="0">
              <a:solidFill>
                <a:schemeClr val="bg1"/>
              </a:solidFill>
              <a:effectLst/>
              <a:latin typeface="+mn-lt"/>
              <a:ea typeface="+mn-ea"/>
              <a:cs typeface="+mn-cs"/>
            </a:rPr>
            <a:t>	1. Rendimiento anual promedio</a:t>
          </a:r>
        </a:p>
        <a:p>
          <a:r>
            <a:rPr lang="es-MX" sz="1400" baseline="0">
              <a:solidFill>
                <a:schemeClr val="bg1"/>
              </a:solidFill>
              <a:effectLst/>
              <a:latin typeface="+mn-lt"/>
              <a:ea typeface="+mn-ea"/>
              <a:cs typeface="+mn-cs"/>
            </a:rPr>
            <a:t>Mediante de flujos de efectivo descontado</a:t>
          </a:r>
        </a:p>
        <a:p>
          <a:r>
            <a:rPr lang="es-MX" sz="1400" baseline="0">
              <a:solidFill>
                <a:schemeClr val="bg1"/>
              </a:solidFill>
              <a:effectLst/>
              <a:latin typeface="+mn-lt"/>
              <a:ea typeface="+mn-ea"/>
              <a:cs typeface="+mn-cs"/>
            </a:rPr>
            <a:t>	1. Indice de rentabilidad</a:t>
          </a:r>
        </a:p>
        <a:p>
          <a:r>
            <a:rPr lang="es-MX" sz="1400" baseline="0">
              <a:solidFill>
                <a:schemeClr val="bg1"/>
              </a:solidFill>
              <a:effectLst/>
              <a:latin typeface="+mn-lt"/>
              <a:ea typeface="+mn-ea"/>
              <a:cs typeface="+mn-cs"/>
            </a:rPr>
            <a:t>	2. VPN</a:t>
          </a:r>
        </a:p>
        <a:p>
          <a:r>
            <a:rPr lang="es-MX" sz="1400" baseline="0">
              <a:solidFill>
                <a:schemeClr val="bg1"/>
              </a:solidFill>
              <a:effectLst/>
              <a:latin typeface="+mn-lt"/>
              <a:ea typeface="+mn-ea"/>
              <a:cs typeface="+mn-cs"/>
            </a:rPr>
            <a:t>	3. TIR</a:t>
          </a:r>
        </a:p>
        <a:p>
          <a:endParaRPr lang="es-MX" sz="1100"/>
        </a:p>
      </xdr:txBody>
    </xdr:sp>
    <xdr:clientData/>
  </xdr:twoCellAnchor>
  <xdr:twoCellAnchor>
    <xdr:from>
      <xdr:col>4</xdr:col>
      <xdr:colOff>752475</xdr:colOff>
      <xdr:row>11</xdr:row>
      <xdr:rowOff>152400</xdr:rowOff>
    </xdr:from>
    <xdr:to>
      <xdr:col>10</xdr:col>
      <xdr:colOff>361950</xdr:colOff>
      <xdr:row>13</xdr:row>
      <xdr:rowOff>152400</xdr:rowOff>
    </xdr:to>
    <xdr:sp macro="" textlink="">
      <xdr:nvSpPr>
        <xdr:cNvPr id="5" name="CuadroTexto 4">
          <a:extLst>
            <a:ext uri="{FF2B5EF4-FFF2-40B4-BE49-F238E27FC236}">
              <a16:creationId xmlns:a16="http://schemas.microsoft.com/office/drawing/2014/main" id="{1B74F273-8A06-4F15-A1A9-D740C6A3A3F3}"/>
            </a:ext>
          </a:extLst>
        </xdr:cNvPr>
        <xdr:cNvSpPr txBox="1"/>
      </xdr:nvSpPr>
      <xdr:spPr>
        <a:xfrm>
          <a:off x="3800475" y="2657475"/>
          <a:ext cx="4181475" cy="381000"/>
        </a:xfrm>
        <a:prstGeom prst="rect">
          <a:avLst/>
        </a:prstGeom>
        <a:solidFill>
          <a:schemeClr val="bg2">
            <a:lumMod val="10000"/>
            <a:alpha val="54902"/>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s-MX" sz="1400" b="0" i="0" baseline="0">
              <a:solidFill>
                <a:schemeClr val="bg1"/>
              </a:solidFill>
              <a:effectLst/>
              <a:latin typeface="+mj-lt"/>
              <a:ea typeface="+mn-ea"/>
              <a:cs typeface="+mn-cs"/>
            </a:rPr>
            <a:t>De aquí tenemos diferentes métodos para calcular FNE</a:t>
          </a:r>
          <a:endParaRPr lang="es-MX" sz="1100">
            <a:solidFill>
              <a:schemeClr val="bg1"/>
            </a:solidFill>
            <a:latin typeface="+mj-lt"/>
          </a:endParaRPr>
        </a:p>
      </xdr:txBody>
    </xdr:sp>
    <xdr:clientData/>
  </xdr:twoCellAnchor>
  <mc:AlternateContent xmlns:mc="http://schemas.openxmlformats.org/markup-compatibility/2006">
    <mc:Choice xmlns:a14="http://schemas.microsoft.com/office/drawing/2010/main" Requires="a14">
      <xdr:twoCellAnchor>
        <xdr:from>
          <xdr:col>2</xdr:col>
          <xdr:colOff>247650</xdr:colOff>
          <xdr:row>0</xdr:row>
          <xdr:rowOff>114300</xdr:rowOff>
        </xdr:from>
        <xdr:to>
          <xdr:col>4</xdr:col>
          <xdr:colOff>38100</xdr:colOff>
          <xdr:row>0</xdr:row>
          <xdr:rowOff>476250</xdr:rowOff>
        </xdr:to>
        <xdr:sp macro="" textlink="">
          <xdr:nvSpPr>
            <xdr:cNvPr id="13313" name="Button 1" hidden="1">
              <a:extLst>
                <a:ext uri="{63B3BB69-23CF-44E3-9099-C40C66FF867C}">
                  <a14:compatExt spid="_x0000_s1331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000" b="0" i="0" u="none" strike="noStrike" baseline="0">
                  <a:solidFill>
                    <a:srgbClr val="000000"/>
                  </a:solidFill>
                  <a:latin typeface="Century Gothic"/>
                </a:rPr>
                <a:t>INGRESO DE DATOS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342900</xdr:colOff>
          <xdr:row>0</xdr:row>
          <xdr:rowOff>114300</xdr:rowOff>
        </xdr:from>
        <xdr:to>
          <xdr:col>12</xdr:col>
          <xdr:colOff>581025</xdr:colOff>
          <xdr:row>0</xdr:row>
          <xdr:rowOff>476250</xdr:rowOff>
        </xdr:to>
        <xdr:sp macro="" textlink="">
          <xdr:nvSpPr>
            <xdr:cNvPr id="13314" name="Button 2" hidden="1">
              <a:extLst>
                <a:ext uri="{63B3BB69-23CF-44E3-9099-C40C66FF867C}">
                  <a14:compatExt spid="_x0000_s1331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000" b="0" i="0" u="none" strike="noStrike" baseline="0">
                  <a:solidFill>
                    <a:srgbClr val="000000"/>
                  </a:solidFill>
                  <a:latin typeface="Century Gothic"/>
                </a:rPr>
                <a:t>SIMULADOR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238125</xdr:colOff>
          <xdr:row>0</xdr:row>
          <xdr:rowOff>114300</xdr:rowOff>
        </xdr:from>
        <xdr:to>
          <xdr:col>6</xdr:col>
          <xdr:colOff>352425</xdr:colOff>
          <xdr:row>0</xdr:row>
          <xdr:rowOff>476250</xdr:rowOff>
        </xdr:to>
        <xdr:sp macro="" textlink="">
          <xdr:nvSpPr>
            <xdr:cNvPr id="13315" name="Button 3" hidden="1">
              <a:extLst>
                <a:ext uri="{63B3BB69-23CF-44E3-9099-C40C66FF867C}">
                  <a14:compatExt spid="_x0000_s1331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000" b="0" i="0" u="none" strike="noStrike" baseline="0">
                  <a:solidFill>
                    <a:srgbClr val="000000"/>
                  </a:solidFill>
                  <a:latin typeface="Century Gothic"/>
                </a:rPr>
                <a:t>COSTO DE PRODUCCIÓN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523875</xdr:colOff>
          <xdr:row>0</xdr:row>
          <xdr:rowOff>114300</xdr:rowOff>
        </xdr:from>
        <xdr:to>
          <xdr:col>8</xdr:col>
          <xdr:colOff>638175</xdr:colOff>
          <xdr:row>0</xdr:row>
          <xdr:rowOff>476250</xdr:rowOff>
        </xdr:to>
        <xdr:sp macro="" textlink="">
          <xdr:nvSpPr>
            <xdr:cNvPr id="13316" name="Button 4" hidden="1">
              <a:extLst>
                <a:ext uri="{63B3BB69-23CF-44E3-9099-C40C66FF867C}">
                  <a14:compatExt spid="_x0000_s1331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000" b="0" i="0" u="none" strike="noStrike" baseline="0">
                  <a:solidFill>
                    <a:srgbClr val="000000"/>
                  </a:solidFill>
                  <a:latin typeface="Century Gothic"/>
                </a:rPr>
                <a:t>DEPRECIACIÓN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57150</xdr:colOff>
          <xdr:row>0</xdr:row>
          <xdr:rowOff>114300</xdr:rowOff>
        </xdr:from>
        <xdr:to>
          <xdr:col>11</xdr:col>
          <xdr:colOff>171450</xdr:colOff>
          <xdr:row>0</xdr:row>
          <xdr:rowOff>476250</xdr:rowOff>
        </xdr:to>
        <xdr:sp macro="" textlink="">
          <xdr:nvSpPr>
            <xdr:cNvPr id="13317" name="Button 5" hidden="1">
              <a:extLst>
                <a:ext uri="{63B3BB69-23CF-44E3-9099-C40C66FF867C}">
                  <a14:compatExt spid="_x0000_s1331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s-MX" sz="900" b="0" i="0" u="none" strike="noStrike" baseline="0">
                  <a:solidFill>
                    <a:srgbClr val="000000"/>
                  </a:solidFill>
                  <a:latin typeface="Century Gothic"/>
                </a:rPr>
                <a:t>GASTOS ADMINISTRATIVOS Y DE VENTA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38100</xdr:colOff>
          <xdr:row>0</xdr:row>
          <xdr:rowOff>114300</xdr:rowOff>
        </xdr:from>
        <xdr:to>
          <xdr:col>14</xdr:col>
          <xdr:colOff>104775</xdr:colOff>
          <xdr:row>0</xdr:row>
          <xdr:rowOff>476250</xdr:rowOff>
        </xdr:to>
        <xdr:sp macro="" textlink="">
          <xdr:nvSpPr>
            <xdr:cNvPr id="13318" name="Button 6" hidden="1">
              <a:extLst>
                <a:ext uri="{63B3BB69-23CF-44E3-9099-C40C66FF867C}">
                  <a14:compatExt spid="_x0000_s13318"/>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es-MX" sz="1100" b="0" i="0" u="none" strike="noStrike" baseline="0">
                  <a:solidFill>
                    <a:srgbClr val="000000"/>
                  </a:solidFill>
                  <a:latin typeface="Century Gothic"/>
                </a:rPr>
                <a:t>FNE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352425</xdr:colOff>
          <xdr:row>0</xdr:row>
          <xdr:rowOff>114300</xdr:rowOff>
        </xdr:from>
        <xdr:to>
          <xdr:col>17</xdr:col>
          <xdr:colOff>238125</xdr:colOff>
          <xdr:row>0</xdr:row>
          <xdr:rowOff>476250</xdr:rowOff>
        </xdr:to>
        <xdr:sp macro="" textlink="">
          <xdr:nvSpPr>
            <xdr:cNvPr id="13319" name="Button 7" hidden="1">
              <a:extLst>
                <a:ext uri="{63B3BB69-23CF-44E3-9099-C40C66FF867C}">
                  <a14:compatExt spid="_x0000_s1331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s-MX" sz="900" b="0" i="0" u="none" strike="noStrike" baseline="0">
                  <a:solidFill>
                    <a:srgbClr val="000000"/>
                  </a:solidFill>
                  <a:latin typeface="Century Gothic"/>
                </a:rPr>
                <a:t>MÉTODOS PARA LA EVALUACIÓN DE PROYECTOS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95250</xdr:colOff>
          <xdr:row>0</xdr:row>
          <xdr:rowOff>114300</xdr:rowOff>
        </xdr:from>
        <xdr:to>
          <xdr:col>1</xdr:col>
          <xdr:colOff>76200</xdr:colOff>
          <xdr:row>0</xdr:row>
          <xdr:rowOff>428625</xdr:rowOff>
        </xdr:to>
        <xdr:sp macro="" textlink="">
          <xdr:nvSpPr>
            <xdr:cNvPr id="13320" name="Button 8" hidden="1">
              <a:extLst>
                <a:ext uri="{63B3BB69-23CF-44E3-9099-C40C66FF867C}">
                  <a14:compatExt spid="_x0000_s1332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000" b="0" i="0" u="none" strike="noStrike" baseline="0">
                  <a:solidFill>
                    <a:srgbClr val="000000"/>
                  </a:solidFill>
                  <a:latin typeface="Century Gothic"/>
                </a:rPr>
                <a:t>PORTADA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514350</xdr:colOff>
          <xdr:row>0</xdr:row>
          <xdr:rowOff>114300</xdr:rowOff>
        </xdr:from>
        <xdr:to>
          <xdr:col>18</xdr:col>
          <xdr:colOff>619125</xdr:colOff>
          <xdr:row>0</xdr:row>
          <xdr:rowOff>485775</xdr:rowOff>
        </xdr:to>
        <xdr:sp macro="" textlink="">
          <xdr:nvSpPr>
            <xdr:cNvPr id="13321" name="Button 9" hidden="1">
              <a:extLst>
                <a:ext uri="{63B3BB69-23CF-44E3-9099-C40C66FF867C}">
                  <a14:compatExt spid="_x0000_s1332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s-MX" sz="900" b="0" i="0" u="none" strike="noStrike" baseline="0">
                  <a:solidFill>
                    <a:srgbClr val="000000"/>
                  </a:solidFill>
                  <a:latin typeface="Century Gothic"/>
                </a:rPr>
                <a:t>INFORME</a:t>
              </a:r>
            </a:p>
          </xdr:txBody>
        </xdr:sp>
        <xdr:clientData fPrintsWithSheet="0"/>
      </xdr:twoCellAnchor>
    </mc:Choice>
    <mc:Fallback/>
  </mc:AlternateContent>
  <xdr:twoCellAnchor>
    <xdr:from>
      <xdr:col>19</xdr:col>
      <xdr:colOff>78441</xdr:colOff>
      <xdr:row>0</xdr:row>
      <xdr:rowOff>112058</xdr:rowOff>
    </xdr:from>
    <xdr:to>
      <xdr:col>21</xdr:col>
      <xdr:colOff>87200</xdr:colOff>
      <xdr:row>0</xdr:row>
      <xdr:rowOff>484300</xdr:rowOff>
    </xdr:to>
    <xdr:sp macro="" textlink="">
      <xdr:nvSpPr>
        <xdr:cNvPr id="15" name="Rectángulo 14">
          <a:hlinkClick xmlns:r="http://schemas.openxmlformats.org/officeDocument/2006/relationships" r:id="rId1"/>
        </xdr:cNvPr>
        <xdr:cNvSpPr/>
      </xdr:nvSpPr>
      <xdr:spPr>
        <a:xfrm>
          <a:off x="14556441" y="112058"/>
          <a:ext cx="1532759" cy="372242"/>
        </a:xfrm>
        <a:prstGeom prst="rect">
          <a:avLst/>
        </a:prstGeom>
        <a:solidFill>
          <a:schemeClr val="bg1">
            <a:lumMod val="95000"/>
          </a:schemeClr>
        </a:solidFill>
        <a:effectLst>
          <a:outerShdw blurRad="50800" dist="38100" dir="2700000" algn="tl" rotWithShape="0">
            <a:prstClr val="black">
              <a:alpha val="40000"/>
            </a:prstClr>
          </a:outerShdw>
        </a:effectLst>
      </xdr:spPr>
      <xdr:style>
        <a:lnRef idx="1">
          <a:schemeClr val="accent3"/>
        </a:lnRef>
        <a:fillRef idx="2">
          <a:schemeClr val="accent3"/>
        </a:fillRef>
        <a:effectRef idx="1">
          <a:schemeClr val="accent3"/>
        </a:effectRef>
        <a:fontRef idx="minor">
          <a:schemeClr val="dk1"/>
        </a:fontRef>
      </xdr:style>
      <xdr:txBody>
        <a:bodyPr vertOverflow="clip" horzOverflow="clip" rtlCol="0" anchor="ctr"/>
        <a:lstStyle/>
        <a:p>
          <a:pPr algn="ctr"/>
          <a:r>
            <a:rPr lang="es-MX" sz="900"/>
            <a:t>BALANCE </a:t>
          </a:r>
          <a:r>
            <a:rPr lang="es-MX" sz="900">
              <a:latin typeface="Century Gothic" panose="020B0502020202020204" pitchFamily="34" charset="0"/>
            </a:rPr>
            <a:t>GENERAL</a:t>
          </a:r>
        </a:p>
        <a:p>
          <a:pPr algn="l"/>
          <a:endParaRPr lang="es-MX" sz="900"/>
        </a:p>
      </xdr:txBody>
    </xdr:sp>
    <xdr:clientData/>
  </xdr:twoCellAnchor>
  <xdr:twoCellAnchor>
    <xdr:from>
      <xdr:col>1</xdr:col>
      <xdr:colOff>152400</xdr:colOff>
      <xdr:row>0</xdr:row>
      <xdr:rowOff>114300</xdr:rowOff>
    </xdr:from>
    <xdr:to>
      <xdr:col>2</xdr:col>
      <xdr:colOff>133350</xdr:colOff>
      <xdr:row>0</xdr:row>
      <xdr:rowOff>466725</xdr:rowOff>
    </xdr:to>
    <xdr:sp macro="" textlink="">
      <xdr:nvSpPr>
        <xdr:cNvPr id="6" name="Rectángulo 5">
          <a:hlinkClick xmlns:r="http://schemas.openxmlformats.org/officeDocument/2006/relationships" r:id="rId2"/>
        </xdr:cNvPr>
        <xdr:cNvSpPr/>
      </xdr:nvSpPr>
      <xdr:spPr>
        <a:xfrm>
          <a:off x="914400" y="114300"/>
          <a:ext cx="742950" cy="352425"/>
        </a:xfrm>
        <a:prstGeom prst="rect">
          <a:avLst/>
        </a:prstGeom>
        <a:solidFill>
          <a:schemeClr val="bg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100">
              <a:solidFill>
                <a:schemeClr val="tx1"/>
              </a:solidFill>
            </a:rPr>
            <a:t>OBJETIVO</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247650</xdr:colOff>
          <xdr:row>0</xdr:row>
          <xdr:rowOff>114300</xdr:rowOff>
        </xdr:from>
        <xdr:to>
          <xdr:col>4</xdr:col>
          <xdr:colOff>38100</xdr:colOff>
          <xdr:row>0</xdr:row>
          <xdr:rowOff>476250</xdr:rowOff>
        </xdr:to>
        <xdr:sp macro="" textlink="">
          <xdr:nvSpPr>
            <xdr:cNvPr id="14337" name="Button 1" hidden="1">
              <a:extLst>
                <a:ext uri="{63B3BB69-23CF-44E3-9099-C40C66FF867C}">
                  <a14:compatExt spid="_x0000_s1433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000" b="0" i="0" u="none" strike="noStrike" baseline="0">
                  <a:solidFill>
                    <a:srgbClr val="000000"/>
                  </a:solidFill>
                  <a:latin typeface="Century Gothic"/>
                </a:rPr>
                <a:t>INGRESO DE DATOS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342900</xdr:colOff>
          <xdr:row>0</xdr:row>
          <xdr:rowOff>114300</xdr:rowOff>
        </xdr:from>
        <xdr:to>
          <xdr:col>12</xdr:col>
          <xdr:colOff>581025</xdr:colOff>
          <xdr:row>0</xdr:row>
          <xdr:rowOff>476250</xdr:rowOff>
        </xdr:to>
        <xdr:sp macro="" textlink="">
          <xdr:nvSpPr>
            <xdr:cNvPr id="14338" name="Button 2" hidden="1">
              <a:extLst>
                <a:ext uri="{63B3BB69-23CF-44E3-9099-C40C66FF867C}">
                  <a14:compatExt spid="_x0000_s1433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000" b="0" i="0" u="none" strike="noStrike" baseline="0">
                  <a:solidFill>
                    <a:srgbClr val="000000"/>
                  </a:solidFill>
                  <a:latin typeface="Century Gothic"/>
                </a:rPr>
                <a:t>SIMULADOR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238125</xdr:colOff>
          <xdr:row>0</xdr:row>
          <xdr:rowOff>114300</xdr:rowOff>
        </xdr:from>
        <xdr:to>
          <xdr:col>6</xdr:col>
          <xdr:colOff>352425</xdr:colOff>
          <xdr:row>0</xdr:row>
          <xdr:rowOff>476250</xdr:rowOff>
        </xdr:to>
        <xdr:sp macro="" textlink="">
          <xdr:nvSpPr>
            <xdr:cNvPr id="14339" name="Button 3" hidden="1">
              <a:extLst>
                <a:ext uri="{63B3BB69-23CF-44E3-9099-C40C66FF867C}">
                  <a14:compatExt spid="_x0000_s1433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000" b="0" i="0" u="none" strike="noStrike" baseline="0">
                  <a:solidFill>
                    <a:srgbClr val="000000"/>
                  </a:solidFill>
                  <a:latin typeface="Century Gothic"/>
                </a:rPr>
                <a:t>COSTO DE PRODUCCIÓN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523875</xdr:colOff>
          <xdr:row>0</xdr:row>
          <xdr:rowOff>114300</xdr:rowOff>
        </xdr:from>
        <xdr:to>
          <xdr:col>8</xdr:col>
          <xdr:colOff>638175</xdr:colOff>
          <xdr:row>0</xdr:row>
          <xdr:rowOff>476250</xdr:rowOff>
        </xdr:to>
        <xdr:sp macro="" textlink="">
          <xdr:nvSpPr>
            <xdr:cNvPr id="14340" name="Button 4" hidden="1">
              <a:extLst>
                <a:ext uri="{63B3BB69-23CF-44E3-9099-C40C66FF867C}">
                  <a14:compatExt spid="_x0000_s1434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000" b="0" i="0" u="none" strike="noStrike" baseline="0">
                  <a:solidFill>
                    <a:srgbClr val="000000"/>
                  </a:solidFill>
                  <a:latin typeface="Century Gothic"/>
                </a:rPr>
                <a:t>DEPRECIACIÓN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57150</xdr:colOff>
          <xdr:row>0</xdr:row>
          <xdr:rowOff>114300</xdr:rowOff>
        </xdr:from>
        <xdr:to>
          <xdr:col>11</xdr:col>
          <xdr:colOff>171450</xdr:colOff>
          <xdr:row>0</xdr:row>
          <xdr:rowOff>476250</xdr:rowOff>
        </xdr:to>
        <xdr:sp macro="" textlink="">
          <xdr:nvSpPr>
            <xdr:cNvPr id="14341" name="Button 5" hidden="1">
              <a:extLst>
                <a:ext uri="{63B3BB69-23CF-44E3-9099-C40C66FF867C}">
                  <a14:compatExt spid="_x0000_s1434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s-MX" sz="900" b="0" i="0" u="none" strike="noStrike" baseline="0">
                  <a:solidFill>
                    <a:srgbClr val="000000"/>
                  </a:solidFill>
                  <a:latin typeface="Century Gothic"/>
                </a:rPr>
                <a:t>GASTOS ADMINISTRATIVOS Y DE VENTA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38100</xdr:colOff>
          <xdr:row>0</xdr:row>
          <xdr:rowOff>114300</xdr:rowOff>
        </xdr:from>
        <xdr:to>
          <xdr:col>14</xdr:col>
          <xdr:colOff>104775</xdr:colOff>
          <xdr:row>0</xdr:row>
          <xdr:rowOff>476250</xdr:rowOff>
        </xdr:to>
        <xdr:sp macro="" textlink="">
          <xdr:nvSpPr>
            <xdr:cNvPr id="14342" name="Button 6" hidden="1">
              <a:extLst>
                <a:ext uri="{63B3BB69-23CF-44E3-9099-C40C66FF867C}">
                  <a14:compatExt spid="_x0000_s14342"/>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es-MX" sz="1100" b="0" i="0" u="none" strike="noStrike" baseline="0">
                  <a:solidFill>
                    <a:srgbClr val="000000"/>
                  </a:solidFill>
                  <a:latin typeface="Century Gothic"/>
                </a:rPr>
                <a:t>FNE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352425</xdr:colOff>
          <xdr:row>0</xdr:row>
          <xdr:rowOff>114300</xdr:rowOff>
        </xdr:from>
        <xdr:to>
          <xdr:col>17</xdr:col>
          <xdr:colOff>238125</xdr:colOff>
          <xdr:row>0</xdr:row>
          <xdr:rowOff>476250</xdr:rowOff>
        </xdr:to>
        <xdr:sp macro="" textlink="">
          <xdr:nvSpPr>
            <xdr:cNvPr id="14343" name="Button 7" hidden="1">
              <a:extLst>
                <a:ext uri="{63B3BB69-23CF-44E3-9099-C40C66FF867C}">
                  <a14:compatExt spid="_x0000_s1434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s-MX" sz="900" b="0" i="0" u="none" strike="noStrike" baseline="0">
                  <a:solidFill>
                    <a:srgbClr val="000000"/>
                  </a:solidFill>
                  <a:latin typeface="Century Gothic"/>
                </a:rPr>
                <a:t>MÉTODOS PARA LA EVALUACIÓN DE PROYECTOS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95250</xdr:colOff>
          <xdr:row>0</xdr:row>
          <xdr:rowOff>114300</xdr:rowOff>
        </xdr:from>
        <xdr:to>
          <xdr:col>1</xdr:col>
          <xdr:colOff>76200</xdr:colOff>
          <xdr:row>0</xdr:row>
          <xdr:rowOff>428625</xdr:rowOff>
        </xdr:to>
        <xdr:sp macro="" textlink="">
          <xdr:nvSpPr>
            <xdr:cNvPr id="14344" name="Button 8" hidden="1">
              <a:extLst>
                <a:ext uri="{63B3BB69-23CF-44E3-9099-C40C66FF867C}">
                  <a14:compatExt spid="_x0000_s1434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000" b="0" i="0" u="none" strike="noStrike" baseline="0">
                  <a:solidFill>
                    <a:srgbClr val="000000"/>
                  </a:solidFill>
                  <a:latin typeface="Century Gothic"/>
                </a:rPr>
                <a:t>PORTADA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514350</xdr:colOff>
          <xdr:row>0</xdr:row>
          <xdr:rowOff>114300</xdr:rowOff>
        </xdr:from>
        <xdr:to>
          <xdr:col>18</xdr:col>
          <xdr:colOff>619125</xdr:colOff>
          <xdr:row>0</xdr:row>
          <xdr:rowOff>485775</xdr:rowOff>
        </xdr:to>
        <xdr:sp macro="" textlink="">
          <xdr:nvSpPr>
            <xdr:cNvPr id="14345" name="Button 9" hidden="1">
              <a:extLst>
                <a:ext uri="{63B3BB69-23CF-44E3-9099-C40C66FF867C}">
                  <a14:compatExt spid="_x0000_s1434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s-MX" sz="900" b="0" i="0" u="none" strike="noStrike" baseline="0">
                  <a:solidFill>
                    <a:srgbClr val="000000"/>
                  </a:solidFill>
                  <a:latin typeface="Century Gothic"/>
                </a:rPr>
                <a:t>INFORME</a:t>
              </a:r>
            </a:p>
          </xdr:txBody>
        </xdr:sp>
        <xdr:clientData fPrintsWithSheet="0"/>
      </xdr:twoCellAnchor>
    </mc:Choice>
    <mc:Fallback/>
  </mc:AlternateContent>
  <xdr:twoCellAnchor>
    <xdr:from>
      <xdr:col>19</xdr:col>
      <xdr:colOff>78441</xdr:colOff>
      <xdr:row>0</xdr:row>
      <xdr:rowOff>112058</xdr:rowOff>
    </xdr:from>
    <xdr:to>
      <xdr:col>21</xdr:col>
      <xdr:colOff>87200</xdr:colOff>
      <xdr:row>0</xdr:row>
      <xdr:rowOff>484300</xdr:rowOff>
    </xdr:to>
    <xdr:sp macro="" textlink="">
      <xdr:nvSpPr>
        <xdr:cNvPr id="11" name="Rectángulo 10">
          <a:hlinkClick xmlns:r="http://schemas.openxmlformats.org/officeDocument/2006/relationships" r:id="rId1"/>
        </xdr:cNvPr>
        <xdr:cNvSpPr/>
      </xdr:nvSpPr>
      <xdr:spPr>
        <a:xfrm>
          <a:off x="14556441" y="112058"/>
          <a:ext cx="1532759" cy="372242"/>
        </a:xfrm>
        <a:prstGeom prst="rect">
          <a:avLst/>
        </a:prstGeom>
        <a:solidFill>
          <a:schemeClr val="bg1">
            <a:lumMod val="95000"/>
          </a:schemeClr>
        </a:solidFill>
        <a:effectLst>
          <a:outerShdw blurRad="50800" dist="38100" dir="2700000" algn="tl" rotWithShape="0">
            <a:prstClr val="black">
              <a:alpha val="40000"/>
            </a:prstClr>
          </a:outerShdw>
        </a:effectLst>
      </xdr:spPr>
      <xdr:style>
        <a:lnRef idx="1">
          <a:schemeClr val="accent3"/>
        </a:lnRef>
        <a:fillRef idx="2">
          <a:schemeClr val="accent3"/>
        </a:fillRef>
        <a:effectRef idx="1">
          <a:schemeClr val="accent3"/>
        </a:effectRef>
        <a:fontRef idx="minor">
          <a:schemeClr val="dk1"/>
        </a:fontRef>
      </xdr:style>
      <xdr:txBody>
        <a:bodyPr vertOverflow="clip" horzOverflow="clip" rtlCol="0" anchor="ctr"/>
        <a:lstStyle/>
        <a:p>
          <a:pPr algn="ctr"/>
          <a:r>
            <a:rPr lang="es-MX" sz="900"/>
            <a:t>BALANCE </a:t>
          </a:r>
          <a:r>
            <a:rPr lang="es-MX" sz="900">
              <a:latin typeface="Century Gothic" panose="020B0502020202020204" pitchFamily="34" charset="0"/>
            </a:rPr>
            <a:t>GENERAL</a:t>
          </a:r>
        </a:p>
        <a:p>
          <a:pPr algn="l"/>
          <a:endParaRPr lang="es-MX" sz="900"/>
        </a:p>
      </xdr:txBody>
    </xdr:sp>
    <xdr:clientData/>
  </xdr:twoCellAnchor>
  <xdr:twoCellAnchor>
    <xdr:from>
      <xdr:col>1</xdr:col>
      <xdr:colOff>152399</xdr:colOff>
      <xdr:row>0</xdr:row>
      <xdr:rowOff>47625</xdr:rowOff>
    </xdr:from>
    <xdr:to>
      <xdr:col>2</xdr:col>
      <xdr:colOff>123825</xdr:colOff>
      <xdr:row>0</xdr:row>
      <xdr:rowOff>504825</xdr:rowOff>
    </xdr:to>
    <xdr:sp macro="" textlink="">
      <xdr:nvSpPr>
        <xdr:cNvPr id="12" name="Rectángulo 11">
          <a:hlinkClick xmlns:r="http://schemas.openxmlformats.org/officeDocument/2006/relationships" r:id="rId2"/>
        </xdr:cNvPr>
        <xdr:cNvSpPr/>
      </xdr:nvSpPr>
      <xdr:spPr>
        <a:xfrm>
          <a:off x="914399" y="47625"/>
          <a:ext cx="733426" cy="457200"/>
        </a:xfrm>
        <a:prstGeom prst="rect">
          <a:avLst/>
        </a:prstGeom>
        <a:solidFill>
          <a:schemeClr val="bg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100">
              <a:solidFill>
                <a:schemeClr val="tx1"/>
              </a:solidFill>
            </a:rPr>
            <a:t>MARCO TEORICO</a:t>
          </a:r>
          <a:r>
            <a:rPr lang="es-MX" sz="1100" b="0" i="0" u="none" strike="noStrike">
              <a:solidFill>
                <a:schemeClr val="lt1"/>
              </a:solidFill>
              <a:effectLst/>
              <a:latin typeface="+mn-lt"/>
              <a:ea typeface="+mn-ea"/>
              <a:cs typeface="+mn-cs"/>
            </a:rPr>
            <a:t>  </a:t>
          </a:r>
          <a:endParaRPr lang="es-MX" sz="1100">
            <a:solidFill>
              <a:schemeClr val="tx1"/>
            </a:solidFill>
          </a:endParaRP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1009650</xdr:colOff>
          <xdr:row>0</xdr:row>
          <xdr:rowOff>114300</xdr:rowOff>
        </xdr:from>
        <xdr:to>
          <xdr:col>8</xdr:col>
          <xdr:colOff>771525</xdr:colOff>
          <xdr:row>0</xdr:row>
          <xdr:rowOff>476250</xdr:rowOff>
        </xdr:to>
        <xdr:sp macro="" textlink="">
          <xdr:nvSpPr>
            <xdr:cNvPr id="3085" name="Button 13" hidden="1">
              <a:extLst>
                <a:ext uri="{63B3BB69-23CF-44E3-9099-C40C66FF867C}">
                  <a14:compatExt spid="_x0000_s308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000" b="0" i="0" u="none" strike="noStrike" baseline="0">
                  <a:solidFill>
                    <a:srgbClr val="000000"/>
                  </a:solidFill>
                  <a:latin typeface="Century Gothic"/>
                </a:rPr>
                <a:t>SIMULADOR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94413</xdr:colOff>
          <xdr:row>0</xdr:row>
          <xdr:rowOff>135234</xdr:rowOff>
        </xdr:from>
        <xdr:to>
          <xdr:col>4</xdr:col>
          <xdr:colOff>329503</xdr:colOff>
          <xdr:row>0</xdr:row>
          <xdr:rowOff>497184</xdr:rowOff>
        </xdr:to>
        <xdr:sp macro="" textlink="">
          <xdr:nvSpPr>
            <xdr:cNvPr id="3086" name="Button 14" hidden="1">
              <a:extLst>
                <a:ext uri="{63B3BB69-23CF-44E3-9099-C40C66FF867C}">
                  <a14:compatExt spid="_x0000_s308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000" b="0" i="0" u="none" strike="noStrike" baseline="0">
                  <a:solidFill>
                    <a:srgbClr val="000000"/>
                  </a:solidFill>
                  <a:latin typeface="Century Gothic"/>
                </a:rPr>
                <a:t>COSTO DE PRODUCCIÓN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544286</xdr:colOff>
          <xdr:row>0</xdr:row>
          <xdr:rowOff>114300</xdr:rowOff>
        </xdr:from>
        <xdr:to>
          <xdr:col>6</xdr:col>
          <xdr:colOff>114300</xdr:colOff>
          <xdr:row>0</xdr:row>
          <xdr:rowOff>450082</xdr:rowOff>
        </xdr:to>
        <xdr:sp macro="" textlink="">
          <xdr:nvSpPr>
            <xdr:cNvPr id="3087" name="Button 15" hidden="1">
              <a:extLst>
                <a:ext uri="{63B3BB69-23CF-44E3-9099-C40C66FF867C}">
                  <a14:compatExt spid="_x0000_s308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000" b="0" i="0" u="none" strike="noStrike" baseline="0">
                  <a:solidFill>
                    <a:srgbClr val="000000"/>
                  </a:solidFill>
                  <a:latin typeface="Century Gothic"/>
                </a:rPr>
                <a:t>DEPRECIACIÓN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295275</xdr:colOff>
          <xdr:row>0</xdr:row>
          <xdr:rowOff>114300</xdr:rowOff>
        </xdr:from>
        <xdr:to>
          <xdr:col>7</xdr:col>
          <xdr:colOff>838200</xdr:colOff>
          <xdr:row>0</xdr:row>
          <xdr:rowOff>476250</xdr:rowOff>
        </xdr:to>
        <xdr:sp macro="" textlink="">
          <xdr:nvSpPr>
            <xdr:cNvPr id="3088" name="Button 16" hidden="1">
              <a:extLst>
                <a:ext uri="{63B3BB69-23CF-44E3-9099-C40C66FF867C}">
                  <a14:compatExt spid="_x0000_s308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s-MX" sz="900" b="0" i="0" u="none" strike="noStrike" baseline="0">
                  <a:solidFill>
                    <a:srgbClr val="000000"/>
                  </a:solidFill>
                  <a:latin typeface="Century Gothic"/>
                </a:rPr>
                <a:t>GASTOS ADMINISTRATIVOS Y DE VENTA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990600</xdr:colOff>
          <xdr:row>0</xdr:row>
          <xdr:rowOff>114300</xdr:rowOff>
        </xdr:from>
        <xdr:to>
          <xdr:col>9</xdr:col>
          <xdr:colOff>561975</xdr:colOff>
          <xdr:row>0</xdr:row>
          <xdr:rowOff>476250</xdr:rowOff>
        </xdr:to>
        <xdr:sp macro="" textlink="">
          <xdr:nvSpPr>
            <xdr:cNvPr id="3089" name="Button 17" hidden="1">
              <a:extLst>
                <a:ext uri="{63B3BB69-23CF-44E3-9099-C40C66FF867C}">
                  <a14:compatExt spid="_x0000_s3089"/>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es-MX" sz="1100" b="0" i="0" u="none" strike="noStrike" baseline="0">
                  <a:solidFill>
                    <a:srgbClr val="000000"/>
                  </a:solidFill>
                  <a:latin typeface="Century Gothic"/>
                </a:rPr>
                <a:t>FNE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47625</xdr:colOff>
          <xdr:row>0</xdr:row>
          <xdr:rowOff>114300</xdr:rowOff>
        </xdr:from>
        <xdr:to>
          <xdr:col>12</xdr:col>
          <xdr:colOff>695325</xdr:colOff>
          <xdr:row>0</xdr:row>
          <xdr:rowOff>476250</xdr:rowOff>
        </xdr:to>
        <xdr:sp macro="" textlink="">
          <xdr:nvSpPr>
            <xdr:cNvPr id="3090" name="Button 18" hidden="1">
              <a:extLst>
                <a:ext uri="{63B3BB69-23CF-44E3-9099-C40C66FF867C}">
                  <a14:compatExt spid="_x0000_s309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s-MX" sz="900" b="0" i="0" u="none" strike="noStrike" baseline="0">
                  <a:solidFill>
                    <a:srgbClr val="000000"/>
                  </a:solidFill>
                  <a:latin typeface="Century Gothic"/>
                </a:rPr>
                <a:t>MÉTODOS PARA LA EVALUACIÓN DE PROYECTOS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95251</xdr:colOff>
          <xdr:row>0</xdr:row>
          <xdr:rowOff>114300</xdr:rowOff>
        </xdr:from>
        <xdr:to>
          <xdr:col>1</xdr:col>
          <xdr:colOff>41870</xdr:colOff>
          <xdr:row>0</xdr:row>
          <xdr:rowOff>471016</xdr:rowOff>
        </xdr:to>
        <xdr:sp macro="" textlink="">
          <xdr:nvSpPr>
            <xdr:cNvPr id="3091" name="Button 19" hidden="1">
              <a:extLst>
                <a:ext uri="{63B3BB69-23CF-44E3-9099-C40C66FF867C}">
                  <a14:compatExt spid="_x0000_s309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000" b="0" i="0" u="none" strike="noStrike" baseline="0">
                  <a:solidFill>
                    <a:srgbClr val="000000"/>
                  </a:solidFill>
                  <a:latin typeface="Century Gothic"/>
                </a:rPr>
                <a:t>PORTADA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209550</xdr:colOff>
          <xdr:row>0</xdr:row>
          <xdr:rowOff>114300</xdr:rowOff>
        </xdr:from>
        <xdr:to>
          <xdr:col>14</xdr:col>
          <xdr:colOff>314325</xdr:colOff>
          <xdr:row>0</xdr:row>
          <xdr:rowOff>485775</xdr:rowOff>
        </xdr:to>
        <xdr:sp macro="" textlink="">
          <xdr:nvSpPr>
            <xdr:cNvPr id="3092" name="Button 20" hidden="1">
              <a:extLst>
                <a:ext uri="{63B3BB69-23CF-44E3-9099-C40C66FF867C}">
                  <a14:compatExt spid="_x0000_s309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s-MX" sz="900" b="0" i="0" u="none" strike="noStrike" baseline="0">
                  <a:solidFill>
                    <a:srgbClr val="000000"/>
                  </a:solidFill>
                  <a:latin typeface="Century Gothic"/>
                </a:rPr>
                <a:t>INFORME</a:t>
              </a:r>
            </a:p>
          </xdr:txBody>
        </xdr:sp>
        <xdr:clientData fPrintsWithSheet="0"/>
      </xdr:twoCellAnchor>
    </mc:Choice>
    <mc:Fallback/>
  </mc:AlternateContent>
  <xdr:twoCellAnchor>
    <xdr:from>
      <xdr:col>14</xdr:col>
      <xdr:colOff>511969</xdr:colOff>
      <xdr:row>0</xdr:row>
      <xdr:rowOff>107156</xdr:rowOff>
    </xdr:from>
    <xdr:to>
      <xdr:col>16</xdr:col>
      <xdr:colOff>520728</xdr:colOff>
      <xdr:row>0</xdr:row>
      <xdr:rowOff>479398</xdr:rowOff>
    </xdr:to>
    <xdr:sp macro="" textlink="">
      <xdr:nvSpPr>
        <xdr:cNvPr id="12" name="Rectángulo 11">
          <a:hlinkClick xmlns:r="http://schemas.openxmlformats.org/officeDocument/2006/relationships" r:id="rId1"/>
        </xdr:cNvPr>
        <xdr:cNvSpPr/>
      </xdr:nvSpPr>
      <xdr:spPr>
        <a:xfrm>
          <a:off x="14537532" y="107156"/>
          <a:ext cx="1532759" cy="372242"/>
        </a:xfrm>
        <a:prstGeom prst="rect">
          <a:avLst/>
        </a:prstGeom>
        <a:solidFill>
          <a:schemeClr val="bg1">
            <a:lumMod val="95000"/>
          </a:schemeClr>
        </a:solidFill>
        <a:effectLst>
          <a:outerShdw blurRad="50800" dist="38100" dir="2700000" algn="tl" rotWithShape="0">
            <a:prstClr val="black">
              <a:alpha val="40000"/>
            </a:prstClr>
          </a:outerShdw>
        </a:effectLst>
      </xdr:spPr>
      <xdr:style>
        <a:lnRef idx="1">
          <a:schemeClr val="accent3"/>
        </a:lnRef>
        <a:fillRef idx="2">
          <a:schemeClr val="accent3"/>
        </a:fillRef>
        <a:effectRef idx="1">
          <a:schemeClr val="accent3"/>
        </a:effectRef>
        <a:fontRef idx="minor">
          <a:schemeClr val="dk1"/>
        </a:fontRef>
      </xdr:style>
      <xdr:txBody>
        <a:bodyPr vertOverflow="clip" horzOverflow="clip" rtlCol="0" anchor="ctr"/>
        <a:lstStyle/>
        <a:p>
          <a:pPr algn="ctr"/>
          <a:r>
            <a:rPr lang="es-MX" sz="900"/>
            <a:t>BALANCE </a:t>
          </a:r>
          <a:r>
            <a:rPr lang="es-MX" sz="900">
              <a:latin typeface="Century Gothic" panose="020B0502020202020204" pitchFamily="34" charset="0"/>
            </a:rPr>
            <a:t>GENERAL</a:t>
          </a:r>
        </a:p>
        <a:p>
          <a:pPr algn="l"/>
          <a:endParaRPr lang="es-MX" sz="900"/>
        </a:p>
      </xdr:txBody>
    </xdr:sp>
    <xdr:clientData/>
  </xdr:twoCellAnchor>
  <xdr:twoCellAnchor>
    <xdr:from>
      <xdr:col>1</xdr:col>
      <xdr:colOff>198873</xdr:colOff>
      <xdr:row>0</xdr:row>
      <xdr:rowOff>73270</xdr:rowOff>
    </xdr:from>
    <xdr:to>
      <xdr:col>2</xdr:col>
      <xdr:colOff>209340</xdr:colOff>
      <xdr:row>0</xdr:row>
      <xdr:rowOff>491951</xdr:rowOff>
    </xdr:to>
    <xdr:sp macro="" textlink="">
      <xdr:nvSpPr>
        <xdr:cNvPr id="13" name="Rectángulo 12">
          <a:hlinkClick xmlns:r="http://schemas.openxmlformats.org/officeDocument/2006/relationships" r:id="rId2"/>
        </xdr:cNvPr>
        <xdr:cNvSpPr/>
      </xdr:nvSpPr>
      <xdr:spPr>
        <a:xfrm>
          <a:off x="962966" y="73270"/>
          <a:ext cx="1371182" cy="418681"/>
        </a:xfrm>
        <a:prstGeom prst="rect">
          <a:avLst/>
        </a:prstGeom>
        <a:solidFill>
          <a:schemeClr val="bg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100">
              <a:solidFill>
                <a:schemeClr val="tx1"/>
              </a:solidFill>
            </a:rPr>
            <a:t>MARCO TEORICO</a:t>
          </a:r>
          <a:r>
            <a:rPr lang="es-MX" sz="1100" b="0" i="0" u="none" strike="noStrike">
              <a:solidFill>
                <a:schemeClr val="lt1"/>
              </a:solidFill>
              <a:effectLst/>
              <a:latin typeface="+mn-lt"/>
              <a:ea typeface="+mn-ea"/>
              <a:cs typeface="+mn-cs"/>
            </a:rPr>
            <a:t>  </a:t>
          </a:r>
          <a:endParaRPr lang="es-MX" sz="1100">
            <a:solidFill>
              <a:schemeClr val="tx1"/>
            </a:solidFill>
          </a:endParaRPr>
        </a:p>
      </xdr:txBody>
    </xdr:sp>
    <xdr:clientData/>
  </xdr:twoCellAnchor>
  <xdr:twoCellAnchor>
    <xdr:from>
      <xdr:col>2</xdr:col>
      <xdr:colOff>607087</xdr:colOff>
      <xdr:row>0</xdr:row>
      <xdr:rowOff>125604</xdr:rowOff>
    </xdr:from>
    <xdr:to>
      <xdr:col>2</xdr:col>
      <xdr:colOff>1350037</xdr:colOff>
      <xdr:row>0</xdr:row>
      <xdr:rowOff>478029</xdr:rowOff>
    </xdr:to>
    <xdr:sp macro="" textlink="">
      <xdr:nvSpPr>
        <xdr:cNvPr id="14" name="Rectángulo 13">
          <a:hlinkClick xmlns:r="http://schemas.openxmlformats.org/officeDocument/2006/relationships" r:id="rId3"/>
        </xdr:cNvPr>
        <xdr:cNvSpPr/>
      </xdr:nvSpPr>
      <xdr:spPr>
        <a:xfrm>
          <a:off x="2731895" y="125604"/>
          <a:ext cx="742950" cy="352425"/>
        </a:xfrm>
        <a:prstGeom prst="rect">
          <a:avLst/>
        </a:prstGeom>
        <a:solidFill>
          <a:schemeClr val="bg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100">
              <a:solidFill>
                <a:schemeClr val="tx1"/>
              </a:solidFill>
            </a:rPr>
            <a:t>OBJETIVO</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22</xdr:col>
      <xdr:colOff>96237</xdr:colOff>
      <xdr:row>1</xdr:row>
      <xdr:rowOff>546511</xdr:rowOff>
    </xdr:from>
    <xdr:to>
      <xdr:col>34</xdr:col>
      <xdr:colOff>68036</xdr:colOff>
      <xdr:row>15</xdr:row>
      <xdr:rowOff>381000</xdr:rowOff>
    </xdr:to>
    <xdr:graphicFrame macro="">
      <xdr:nvGraphicFramePr>
        <xdr:cNvPr id="2" name="Gráfico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11</xdr:col>
          <xdr:colOff>381000</xdr:colOff>
          <xdr:row>24</xdr:row>
          <xdr:rowOff>85725</xdr:rowOff>
        </xdr:from>
        <xdr:to>
          <xdr:col>12</xdr:col>
          <xdr:colOff>962025</xdr:colOff>
          <xdr:row>26</xdr:row>
          <xdr:rowOff>66675</xdr:rowOff>
        </xdr:to>
        <xdr:sp macro="" textlink="">
          <xdr:nvSpPr>
            <xdr:cNvPr id="2066" name="Button 18" hidden="1">
              <a:extLst>
                <a:ext uri="{63B3BB69-23CF-44E3-9099-C40C66FF867C}">
                  <a14:compatExt spid="_x0000_s2066"/>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es-MX" sz="1100" b="0" i="0" u="none" strike="noStrike" baseline="0">
                  <a:solidFill>
                    <a:srgbClr val="000000"/>
                  </a:solidFill>
                  <a:latin typeface="Century Gothic"/>
                </a:rPr>
                <a:t>VER GRÁFICO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76200</xdr:colOff>
          <xdr:row>5</xdr:row>
          <xdr:rowOff>133350</xdr:rowOff>
        </xdr:from>
        <xdr:to>
          <xdr:col>36</xdr:col>
          <xdr:colOff>685800</xdr:colOff>
          <xdr:row>6</xdr:row>
          <xdr:rowOff>190500</xdr:rowOff>
        </xdr:to>
        <xdr:sp macro="" textlink="">
          <xdr:nvSpPr>
            <xdr:cNvPr id="2067" name="Button 19" hidden="1">
              <a:extLst>
                <a:ext uri="{63B3BB69-23CF-44E3-9099-C40C66FF867C}">
                  <a14:compatExt spid="_x0000_s2067"/>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es-MX" sz="1100" b="0" i="0" u="none" strike="noStrike" baseline="0">
                  <a:solidFill>
                    <a:srgbClr val="000000"/>
                  </a:solidFill>
                  <a:latin typeface="Century Gothic"/>
                </a:rPr>
                <a:t>REGRESAR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624358</xdr:colOff>
          <xdr:row>0</xdr:row>
          <xdr:rowOff>72431</xdr:rowOff>
        </xdr:from>
        <xdr:to>
          <xdr:col>3</xdr:col>
          <xdr:colOff>1488281</xdr:colOff>
          <xdr:row>0</xdr:row>
          <xdr:rowOff>535780</xdr:rowOff>
        </xdr:to>
        <xdr:sp macro="" textlink="">
          <xdr:nvSpPr>
            <xdr:cNvPr id="2090" name="Button 42" hidden="1">
              <a:extLst>
                <a:ext uri="{63B3BB69-23CF-44E3-9099-C40C66FF867C}">
                  <a14:compatExt spid="_x0000_s209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000" b="0" i="0" u="none" strike="noStrike" baseline="0">
                  <a:solidFill>
                    <a:srgbClr val="000000"/>
                  </a:solidFill>
                  <a:latin typeface="Century Gothic"/>
                </a:rPr>
                <a:t>INGRESO DE DATOS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1952625</xdr:colOff>
          <xdr:row>0</xdr:row>
          <xdr:rowOff>123327</xdr:rowOff>
        </xdr:from>
        <xdr:to>
          <xdr:col>4</xdr:col>
          <xdr:colOff>984347</xdr:colOff>
          <xdr:row>0</xdr:row>
          <xdr:rowOff>559594</xdr:rowOff>
        </xdr:to>
        <xdr:sp macro="" textlink="">
          <xdr:nvSpPr>
            <xdr:cNvPr id="2092" name="Button 44" hidden="1">
              <a:extLst>
                <a:ext uri="{63B3BB69-23CF-44E3-9099-C40C66FF867C}">
                  <a14:compatExt spid="_x0000_s209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000" b="0" i="0" u="none" strike="noStrike" baseline="0">
                  <a:solidFill>
                    <a:srgbClr val="000000"/>
                  </a:solidFill>
                  <a:latin typeface="Century Gothic"/>
                </a:rPr>
                <a:t>COSTO DE PRODUCCIÓN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1393030</xdr:colOff>
          <xdr:row>0</xdr:row>
          <xdr:rowOff>114300</xdr:rowOff>
        </xdr:from>
        <xdr:to>
          <xdr:col>6</xdr:col>
          <xdr:colOff>114299</xdr:colOff>
          <xdr:row>0</xdr:row>
          <xdr:rowOff>476250</xdr:rowOff>
        </xdr:to>
        <xdr:sp macro="" textlink="">
          <xdr:nvSpPr>
            <xdr:cNvPr id="2093" name="Button 45" hidden="1">
              <a:extLst>
                <a:ext uri="{63B3BB69-23CF-44E3-9099-C40C66FF867C}">
                  <a14:compatExt spid="_x0000_s209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000" b="0" i="0" u="none" strike="noStrike" baseline="0">
                  <a:solidFill>
                    <a:srgbClr val="000000"/>
                  </a:solidFill>
                  <a:latin typeface="Century Gothic"/>
                </a:rPr>
                <a:t>DEPRECIACIÓN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295275</xdr:colOff>
          <xdr:row>0</xdr:row>
          <xdr:rowOff>114300</xdr:rowOff>
        </xdr:from>
        <xdr:to>
          <xdr:col>7</xdr:col>
          <xdr:colOff>838200</xdr:colOff>
          <xdr:row>0</xdr:row>
          <xdr:rowOff>476250</xdr:rowOff>
        </xdr:to>
        <xdr:sp macro="" textlink="">
          <xdr:nvSpPr>
            <xdr:cNvPr id="2094" name="Button 46" hidden="1">
              <a:extLst>
                <a:ext uri="{63B3BB69-23CF-44E3-9099-C40C66FF867C}">
                  <a14:compatExt spid="_x0000_s2094"/>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s-MX" sz="900" b="0" i="0" u="none" strike="noStrike" baseline="0">
                  <a:solidFill>
                    <a:srgbClr val="000000"/>
                  </a:solidFill>
                  <a:latin typeface="Century Gothic"/>
                </a:rPr>
                <a:t>GASTOS ADMINISTRATIVOS Y DE VENTA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1371601</xdr:colOff>
          <xdr:row>0</xdr:row>
          <xdr:rowOff>126206</xdr:rowOff>
        </xdr:from>
        <xdr:to>
          <xdr:col>8</xdr:col>
          <xdr:colOff>942975</xdr:colOff>
          <xdr:row>0</xdr:row>
          <xdr:rowOff>488156</xdr:rowOff>
        </xdr:to>
        <xdr:sp macro="" textlink="">
          <xdr:nvSpPr>
            <xdr:cNvPr id="2095" name="Button 47" hidden="1">
              <a:extLst>
                <a:ext uri="{63B3BB69-23CF-44E3-9099-C40C66FF867C}">
                  <a14:compatExt spid="_x0000_s2095"/>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es-MX" sz="1100" b="0" i="0" u="none" strike="noStrike" baseline="0">
                  <a:solidFill>
                    <a:srgbClr val="000000"/>
                  </a:solidFill>
                  <a:latin typeface="Century Gothic"/>
                </a:rPr>
                <a:t>FNE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1357313</xdr:colOff>
          <xdr:row>0</xdr:row>
          <xdr:rowOff>138112</xdr:rowOff>
        </xdr:from>
        <xdr:to>
          <xdr:col>10</xdr:col>
          <xdr:colOff>845344</xdr:colOff>
          <xdr:row>0</xdr:row>
          <xdr:rowOff>523874</xdr:rowOff>
        </xdr:to>
        <xdr:sp macro="" textlink="">
          <xdr:nvSpPr>
            <xdr:cNvPr id="2096" name="Button 48" hidden="1">
              <a:extLst>
                <a:ext uri="{63B3BB69-23CF-44E3-9099-C40C66FF867C}">
                  <a14:compatExt spid="_x0000_s2096"/>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s-MX" sz="900" b="0" i="0" u="none" strike="noStrike" baseline="0">
                  <a:solidFill>
                    <a:srgbClr val="000000"/>
                  </a:solidFill>
                  <a:latin typeface="Century Gothic"/>
                </a:rPr>
                <a:t>MÉTODOS PARA LA EVALUACIÓN DE PROYECTOS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95251</xdr:colOff>
          <xdr:row>0</xdr:row>
          <xdr:rowOff>114300</xdr:rowOff>
        </xdr:from>
        <xdr:to>
          <xdr:col>1</xdr:col>
          <xdr:colOff>41870</xdr:colOff>
          <xdr:row>0</xdr:row>
          <xdr:rowOff>471016</xdr:rowOff>
        </xdr:to>
        <xdr:sp macro="" textlink="">
          <xdr:nvSpPr>
            <xdr:cNvPr id="2097" name="Button 49" hidden="1">
              <a:extLst>
                <a:ext uri="{63B3BB69-23CF-44E3-9099-C40C66FF867C}">
                  <a14:compatExt spid="_x0000_s209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000" b="0" i="0" u="none" strike="noStrike" baseline="0">
                  <a:solidFill>
                    <a:srgbClr val="000000"/>
                  </a:solidFill>
                  <a:latin typeface="Century Gothic"/>
                </a:rPr>
                <a:t>PORTADA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1138237</xdr:colOff>
          <xdr:row>0</xdr:row>
          <xdr:rowOff>126207</xdr:rowOff>
        </xdr:from>
        <xdr:to>
          <xdr:col>11</xdr:col>
          <xdr:colOff>600074</xdr:colOff>
          <xdr:row>0</xdr:row>
          <xdr:rowOff>497682</xdr:rowOff>
        </xdr:to>
        <xdr:sp macro="" textlink="">
          <xdr:nvSpPr>
            <xdr:cNvPr id="2098" name="Button 50" hidden="1">
              <a:extLst>
                <a:ext uri="{63B3BB69-23CF-44E3-9099-C40C66FF867C}">
                  <a14:compatExt spid="_x0000_s209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s-MX" sz="900" b="0" i="0" u="none" strike="noStrike" baseline="0">
                  <a:solidFill>
                    <a:srgbClr val="000000"/>
                  </a:solidFill>
                  <a:latin typeface="Century Gothic"/>
                </a:rPr>
                <a:t>INFORME</a:t>
              </a:r>
            </a:p>
          </xdr:txBody>
        </xdr:sp>
        <xdr:clientData fPrintsWithSheet="0"/>
      </xdr:twoCellAnchor>
    </mc:Choice>
    <mc:Fallback/>
  </mc:AlternateContent>
  <xdr:twoCellAnchor>
    <xdr:from>
      <xdr:col>11</xdr:col>
      <xdr:colOff>833438</xdr:colOff>
      <xdr:row>0</xdr:row>
      <xdr:rowOff>130966</xdr:rowOff>
    </xdr:from>
    <xdr:to>
      <xdr:col>12</xdr:col>
      <xdr:colOff>476250</xdr:colOff>
      <xdr:row>0</xdr:row>
      <xdr:rowOff>535779</xdr:rowOff>
    </xdr:to>
    <xdr:sp macro="" textlink="">
      <xdr:nvSpPr>
        <xdr:cNvPr id="41" name="Rectángulo 40">
          <a:hlinkClick xmlns:r="http://schemas.openxmlformats.org/officeDocument/2006/relationships" r:id="rId2"/>
        </xdr:cNvPr>
        <xdr:cNvSpPr/>
      </xdr:nvSpPr>
      <xdr:spPr>
        <a:xfrm>
          <a:off x="15144751" y="130966"/>
          <a:ext cx="1083468" cy="404813"/>
        </a:xfrm>
        <a:prstGeom prst="rect">
          <a:avLst/>
        </a:prstGeom>
        <a:solidFill>
          <a:schemeClr val="bg1">
            <a:lumMod val="95000"/>
          </a:schemeClr>
        </a:solidFill>
        <a:effectLst>
          <a:outerShdw blurRad="50800" dist="38100" dir="2700000" algn="tl" rotWithShape="0">
            <a:prstClr val="black">
              <a:alpha val="40000"/>
            </a:prstClr>
          </a:outerShdw>
        </a:effectLst>
      </xdr:spPr>
      <xdr:style>
        <a:lnRef idx="1">
          <a:schemeClr val="accent3"/>
        </a:lnRef>
        <a:fillRef idx="2">
          <a:schemeClr val="accent3"/>
        </a:fillRef>
        <a:effectRef idx="1">
          <a:schemeClr val="accent3"/>
        </a:effectRef>
        <a:fontRef idx="minor">
          <a:schemeClr val="dk1"/>
        </a:fontRef>
      </xdr:style>
      <xdr:txBody>
        <a:bodyPr vertOverflow="clip" horzOverflow="clip" rtlCol="0" anchor="ctr"/>
        <a:lstStyle/>
        <a:p>
          <a:pPr algn="ctr"/>
          <a:r>
            <a:rPr lang="es-MX" sz="900"/>
            <a:t>BALANCE </a:t>
          </a:r>
          <a:r>
            <a:rPr lang="es-MX" sz="900">
              <a:latin typeface="Century Gothic" panose="020B0502020202020204" pitchFamily="34" charset="0"/>
            </a:rPr>
            <a:t>GENERAL</a:t>
          </a:r>
        </a:p>
        <a:p>
          <a:pPr algn="l"/>
          <a:endParaRPr lang="es-MX" sz="900"/>
        </a:p>
      </xdr:txBody>
    </xdr:sp>
    <xdr:clientData/>
  </xdr:twoCellAnchor>
  <xdr:twoCellAnchor>
    <xdr:from>
      <xdr:col>1</xdr:col>
      <xdr:colOff>229881</xdr:colOff>
      <xdr:row>0</xdr:row>
      <xdr:rowOff>73270</xdr:rowOff>
    </xdr:from>
    <xdr:to>
      <xdr:col>2</xdr:col>
      <xdr:colOff>46526</xdr:colOff>
      <xdr:row>0</xdr:row>
      <xdr:rowOff>530470</xdr:rowOff>
    </xdr:to>
    <xdr:sp macro="" textlink="">
      <xdr:nvSpPr>
        <xdr:cNvPr id="42" name="Rectángulo 41">
          <a:hlinkClick xmlns:r="http://schemas.openxmlformats.org/officeDocument/2006/relationships" r:id="rId3"/>
        </xdr:cNvPr>
        <xdr:cNvSpPr/>
      </xdr:nvSpPr>
      <xdr:spPr>
        <a:xfrm>
          <a:off x="991881" y="73270"/>
          <a:ext cx="733426" cy="457200"/>
        </a:xfrm>
        <a:prstGeom prst="rect">
          <a:avLst/>
        </a:prstGeom>
        <a:solidFill>
          <a:schemeClr val="bg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100">
              <a:solidFill>
                <a:schemeClr val="tx1"/>
              </a:solidFill>
            </a:rPr>
            <a:t>MARCO TEORICO</a:t>
          </a:r>
          <a:r>
            <a:rPr lang="es-MX" sz="1100" b="0" i="0" u="none" strike="noStrike">
              <a:solidFill>
                <a:schemeClr val="lt1"/>
              </a:solidFill>
              <a:effectLst/>
              <a:latin typeface="+mn-lt"/>
              <a:ea typeface="+mn-ea"/>
              <a:cs typeface="+mn-cs"/>
            </a:rPr>
            <a:t>  </a:t>
          </a:r>
          <a:endParaRPr lang="es-MX" sz="1100">
            <a:solidFill>
              <a:schemeClr val="tx1"/>
            </a:solidFill>
          </a:endParaRPr>
        </a:p>
      </xdr:txBody>
    </xdr:sp>
    <xdr:clientData/>
  </xdr:twoCellAnchor>
  <xdr:twoCellAnchor>
    <xdr:from>
      <xdr:col>2</xdr:col>
      <xdr:colOff>274289</xdr:colOff>
      <xdr:row>0</xdr:row>
      <xdr:rowOff>94203</xdr:rowOff>
    </xdr:from>
    <xdr:to>
      <xdr:col>3</xdr:col>
      <xdr:colOff>273844</xdr:colOff>
      <xdr:row>0</xdr:row>
      <xdr:rowOff>523875</xdr:rowOff>
    </xdr:to>
    <xdr:sp macro="" textlink="">
      <xdr:nvSpPr>
        <xdr:cNvPr id="43" name="Rectángulo 42">
          <a:hlinkClick xmlns:r="http://schemas.openxmlformats.org/officeDocument/2006/relationships" r:id="rId4"/>
        </xdr:cNvPr>
        <xdr:cNvSpPr/>
      </xdr:nvSpPr>
      <xdr:spPr>
        <a:xfrm>
          <a:off x="1953070" y="94203"/>
          <a:ext cx="844899" cy="429672"/>
        </a:xfrm>
        <a:prstGeom prst="rect">
          <a:avLst/>
        </a:prstGeom>
        <a:solidFill>
          <a:schemeClr val="bg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100">
              <a:solidFill>
                <a:schemeClr val="tx1"/>
              </a:solidFill>
            </a:rPr>
            <a:t>OBJETIVO</a:t>
          </a:r>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625928</xdr:colOff>
          <xdr:row>0</xdr:row>
          <xdr:rowOff>87085</xdr:rowOff>
        </xdr:from>
        <xdr:to>
          <xdr:col>3</xdr:col>
          <xdr:colOff>394607</xdr:colOff>
          <xdr:row>0</xdr:row>
          <xdr:rowOff>489856</xdr:rowOff>
        </xdr:to>
        <xdr:sp macro="" textlink="">
          <xdr:nvSpPr>
            <xdr:cNvPr id="4123" name="Button 27" hidden="1">
              <a:extLst>
                <a:ext uri="{63B3BB69-23CF-44E3-9099-C40C66FF867C}">
                  <a14:compatExt spid="_x0000_s412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000" b="0" i="0" u="none" strike="noStrike" baseline="0">
                  <a:solidFill>
                    <a:srgbClr val="000000"/>
                  </a:solidFill>
                  <a:latin typeface="Century Gothic"/>
                </a:rPr>
                <a:t>INGRESO DE DATOS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561975</xdr:colOff>
          <xdr:row>0</xdr:row>
          <xdr:rowOff>114300</xdr:rowOff>
        </xdr:from>
        <xdr:to>
          <xdr:col>8</xdr:col>
          <xdr:colOff>304800</xdr:colOff>
          <xdr:row>0</xdr:row>
          <xdr:rowOff>476250</xdr:rowOff>
        </xdr:to>
        <xdr:sp macro="" textlink="">
          <xdr:nvSpPr>
            <xdr:cNvPr id="4124" name="Button 28" hidden="1">
              <a:extLst>
                <a:ext uri="{63B3BB69-23CF-44E3-9099-C40C66FF867C}">
                  <a14:compatExt spid="_x0000_s412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000" b="0" i="0" u="none" strike="noStrike" baseline="0">
                  <a:solidFill>
                    <a:srgbClr val="000000"/>
                  </a:solidFill>
                  <a:latin typeface="Century Gothic"/>
                </a:rPr>
                <a:t>SIMULADOR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884463</xdr:colOff>
          <xdr:row>0</xdr:row>
          <xdr:rowOff>114300</xdr:rowOff>
        </xdr:from>
        <xdr:to>
          <xdr:col>4</xdr:col>
          <xdr:colOff>759277</xdr:colOff>
          <xdr:row>0</xdr:row>
          <xdr:rowOff>462643</xdr:rowOff>
        </xdr:to>
        <xdr:sp macro="" textlink="">
          <xdr:nvSpPr>
            <xdr:cNvPr id="4126" name="Button 30" hidden="1">
              <a:extLst>
                <a:ext uri="{63B3BB69-23CF-44E3-9099-C40C66FF867C}">
                  <a14:compatExt spid="_x0000_s412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000" b="0" i="0" u="none" strike="noStrike" baseline="0">
                  <a:solidFill>
                    <a:srgbClr val="000000"/>
                  </a:solidFill>
                  <a:latin typeface="Century Gothic"/>
                </a:rPr>
                <a:t>DEPRECIACIÓN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300718</xdr:colOff>
          <xdr:row>0</xdr:row>
          <xdr:rowOff>127907</xdr:rowOff>
        </xdr:from>
        <xdr:to>
          <xdr:col>6</xdr:col>
          <xdr:colOff>907596</xdr:colOff>
          <xdr:row>0</xdr:row>
          <xdr:rowOff>489857</xdr:rowOff>
        </xdr:to>
        <xdr:sp macro="" textlink="">
          <xdr:nvSpPr>
            <xdr:cNvPr id="4127" name="Button 31" hidden="1">
              <a:extLst>
                <a:ext uri="{63B3BB69-23CF-44E3-9099-C40C66FF867C}">
                  <a14:compatExt spid="_x0000_s412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s-MX" sz="900" b="0" i="0" u="none" strike="noStrike" baseline="0">
                  <a:solidFill>
                    <a:srgbClr val="000000"/>
                  </a:solidFill>
                  <a:latin typeface="Century Gothic"/>
                </a:rPr>
                <a:t>GASTOS ADMINISTRATIVOS Y DE VENTA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523875</xdr:colOff>
          <xdr:row>0</xdr:row>
          <xdr:rowOff>114300</xdr:rowOff>
        </xdr:from>
        <xdr:to>
          <xdr:col>9</xdr:col>
          <xdr:colOff>95250</xdr:colOff>
          <xdr:row>0</xdr:row>
          <xdr:rowOff>476250</xdr:rowOff>
        </xdr:to>
        <xdr:sp macro="" textlink="">
          <xdr:nvSpPr>
            <xdr:cNvPr id="4128" name="Button 32" hidden="1">
              <a:extLst>
                <a:ext uri="{63B3BB69-23CF-44E3-9099-C40C66FF867C}">
                  <a14:compatExt spid="_x0000_s4128"/>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es-MX" sz="1100" b="0" i="0" u="none" strike="noStrike" baseline="0">
                  <a:solidFill>
                    <a:srgbClr val="000000"/>
                  </a:solidFill>
                  <a:latin typeface="Century Gothic"/>
                </a:rPr>
                <a:t>FNE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342900</xdr:colOff>
          <xdr:row>0</xdr:row>
          <xdr:rowOff>114300</xdr:rowOff>
        </xdr:from>
        <xdr:to>
          <xdr:col>11</xdr:col>
          <xdr:colOff>0</xdr:colOff>
          <xdr:row>0</xdr:row>
          <xdr:rowOff>476250</xdr:rowOff>
        </xdr:to>
        <xdr:sp macro="" textlink="">
          <xdr:nvSpPr>
            <xdr:cNvPr id="4129" name="Button 33" hidden="1">
              <a:extLst>
                <a:ext uri="{63B3BB69-23CF-44E3-9099-C40C66FF867C}">
                  <a14:compatExt spid="_x0000_s412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s-MX" sz="900" b="0" i="0" u="none" strike="noStrike" baseline="0">
                  <a:solidFill>
                    <a:srgbClr val="000000"/>
                  </a:solidFill>
                  <a:latin typeface="Century Gothic"/>
                </a:rPr>
                <a:t>MÉTODOS PARA LA EVALUACIÓN DE PROYECTOS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95250</xdr:colOff>
          <xdr:row>0</xdr:row>
          <xdr:rowOff>114300</xdr:rowOff>
        </xdr:from>
        <xdr:to>
          <xdr:col>1</xdr:col>
          <xdr:colOff>266700</xdr:colOff>
          <xdr:row>0</xdr:row>
          <xdr:rowOff>476250</xdr:rowOff>
        </xdr:to>
        <xdr:sp macro="" textlink="">
          <xdr:nvSpPr>
            <xdr:cNvPr id="4130" name="Button 34" hidden="1">
              <a:extLst>
                <a:ext uri="{63B3BB69-23CF-44E3-9099-C40C66FF867C}">
                  <a14:compatExt spid="_x0000_s413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000" b="0" i="0" u="none" strike="noStrike" baseline="0">
                  <a:solidFill>
                    <a:srgbClr val="000000"/>
                  </a:solidFill>
                  <a:latin typeface="Century Gothic"/>
                </a:rPr>
                <a:t>PORTADA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276225</xdr:colOff>
          <xdr:row>0</xdr:row>
          <xdr:rowOff>114300</xdr:rowOff>
        </xdr:from>
        <xdr:to>
          <xdr:col>11</xdr:col>
          <xdr:colOff>1143000</xdr:colOff>
          <xdr:row>0</xdr:row>
          <xdr:rowOff>485775</xdr:rowOff>
        </xdr:to>
        <xdr:sp macro="" textlink="">
          <xdr:nvSpPr>
            <xdr:cNvPr id="4131" name="Button 35" hidden="1">
              <a:extLst>
                <a:ext uri="{63B3BB69-23CF-44E3-9099-C40C66FF867C}">
                  <a14:compatExt spid="_x0000_s413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s-MX" sz="900" b="0" i="0" u="none" strike="noStrike" baseline="0">
                  <a:solidFill>
                    <a:srgbClr val="000000"/>
                  </a:solidFill>
                  <a:latin typeface="Century Gothic"/>
                </a:rPr>
                <a:t>INFORME</a:t>
              </a:r>
            </a:p>
          </xdr:txBody>
        </xdr:sp>
        <xdr:clientData fPrintsWithSheet="0"/>
      </xdr:twoCellAnchor>
    </mc:Choice>
    <mc:Fallback/>
  </mc:AlternateContent>
  <xdr:twoCellAnchor>
    <xdr:from>
      <xdr:col>12</xdr:col>
      <xdr:colOff>89297</xdr:colOff>
      <xdr:row>0</xdr:row>
      <xdr:rowOff>104180</xdr:rowOff>
    </xdr:from>
    <xdr:to>
      <xdr:col>13</xdr:col>
      <xdr:colOff>371900</xdr:colOff>
      <xdr:row>0</xdr:row>
      <xdr:rowOff>476422</xdr:rowOff>
    </xdr:to>
    <xdr:sp macro="" textlink="">
      <xdr:nvSpPr>
        <xdr:cNvPr id="11" name="Rectángulo 10">
          <a:hlinkClick xmlns:r="http://schemas.openxmlformats.org/officeDocument/2006/relationships" r:id="rId1"/>
        </xdr:cNvPr>
        <xdr:cNvSpPr/>
      </xdr:nvSpPr>
      <xdr:spPr>
        <a:xfrm>
          <a:off x="14495860" y="104180"/>
          <a:ext cx="1532759" cy="372242"/>
        </a:xfrm>
        <a:prstGeom prst="rect">
          <a:avLst/>
        </a:prstGeom>
        <a:solidFill>
          <a:schemeClr val="bg1">
            <a:lumMod val="95000"/>
          </a:schemeClr>
        </a:solidFill>
        <a:effectLst>
          <a:outerShdw blurRad="50800" dist="38100" dir="2700000" algn="tl" rotWithShape="0">
            <a:prstClr val="black">
              <a:alpha val="40000"/>
            </a:prstClr>
          </a:outerShdw>
        </a:effectLst>
      </xdr:spPr>
      <xdr:style>
        <a:lnRef idx="1">
          <a:schemeClr val="accent3"/>
        </a:lnRef>
        <a:fillRef idx="2">
          <a:schemeClr val="accent3"/>
        </a:fillRef>
        <a:effectRef idx="1">
          <a:schemeClr val="accent3"/>
        </a:effectRef>
        <a:fontRef idx="minor">
          <a:schemeClr val="dk1"/>
        </a:fontRef>
      </xdr:style>
      <xdr:txBody>
        <a:bodyPr vertOverflow="clip" horzOverflow="clip" rtlCol="0" anchor="ctr"/>
        <a:lstStyle/>
        <a:p>
          <a:pPr algn="ctr"/>
          <a:r>
            <a:rPr lang="es-MX" sz="900"/>
            <a:t>BALANCE </a:t>
          </a:r>
          <a:r>
            <a:rPr lang="es-MX" sz="900">
              <a:latin typeface="Century Gothic" panose="020B0502020202020204" pitchFamily="34" charset="0"/>
            </a:rPr>
            <a:t>GENERAL</a:t>
          </a:r>
        </a:p>
        <a:p>
          <a:pPr algn="l"/>
          <a:endParaRPr lang="es-MX" sz="900"/>
        </a:p>
      </xdr:txBody>
    </xdr:sp>
    <xdr:clientData/>
  </xdr:twoCellAnchor>
  <xdr:twoCellAnchor>
    <xdr:from>
      <xdr:col>1</xdr:col>
      <xdr:colOff>394607</xdr:colOff>
      <xdr:row>0</xdr:row>
      <xdr:rowOff>81643</xdr:rowOff>
    </xdr:from>
    <xdr:to>
      <xdr:col>1</xdr:col>
      <xdr:colOff>1128033</xdr:colOff>
      <xdr:row>0</xdr:row>
      <xdr:rowOff>538843</xdr:rowOff>
    </xdr:to>
    <xdr:sp macro="" textlink="">
      <xdr:nvSpPr>
        <xdr:cNvPr id="12" name="Rectángulo 11">
          <a:hlinkClick xmlns:r="http://schemas.openxmlformats.org/officeDocument/2006/relationships" r:id="rId2"/>
        </xdr:cNvPr>
        <xdr:cNvSpPr/>
      </xdr:nvSpPr>
      <xdr:spPr>
        <a:xfrm>
          <a:off x="1156607" y="81643"/>
          <a:ext cx="733426" cy="457200"/>
        </a:xfrm>
        <a:prstGeom prst="rect">
          <a:avLst/>
        </a:prstGeom>
        <a:solidFill>
          <a:schemeClr val="bg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100">
              <a:solidFill>
                <a:schemeClr val="tx1"/>
              </a:solidFill>
            </a:rPr>
            <a:t>MARCO TEORICO</a:t>
          </a:r>
          <a:r>
            <a:rPr lang="es-MX" sz="1100" b="0" i="0" u="none" strike="noStrike">
              <a:solidFill>
                <a:schemeClr val="lt1"/>
              </a:solidFill>
              <a:effectLst/>
              <a:latin typeface="+mn-lt"/>
              <a:ea typeface="+mn-ea"/>
              <a:cs typeface="+mn-cs"/>
            </a:rPr>
            <a:t>  </a:t>
          </a:r>
          <a:endParaRPr lang="es-MX" sz="1100">
            <a:solidFill>
              <a:schemeClr val="tx1"/>
            </a:solidFill>
          </a:endParaRPr>
        </a:p>
      </xdr:txBody>
    </xdr:sp>
    <xdr:clientData/>
  </xdr:twoCellAnchor>
  <xdr:twoCellAnchor>
    <xdr:from>
      <xdr:col>1</xdr:col>
      <xdr:colOff>1279072</xdr:colOff>
      <xdr:row>0</xdr:row>
      <xdr:rowOff>68035</xdr:rowOff>
    </xdr:from>
    <xdr:to>
      <xdr:col>2</xdr:col>
      <xdr:colOff>341435</xdr:colOff>
      <xdr:row>0</xdr:row>
      <xdr:rowOff>497707</xdr:rowOff>
    </xdr:to>
    <xdr:sp macro="" textlink="">
      <xdr:nvSpPr>
        <xdr:cNvPr id="13" name="Rectángulo 12">
          <a:hlinkClick xmlns:r="http://schemas.openxmlformats.org/officeDocument/2006/relationships" r:id="rId3"/>
        </xdr:cNvPr>
        <xdr:cNvSpPr/>
      </xdr:nvSpPr>
      <xdr:spPr>
        <a:xfrm>
          <a:off x="2041072" y="68035"/>
          <a:ext cx="844899" cy="429672"/>
        </a:xfrm>
        <a:prstGeom prst="rect">
          <a:avLst/>
        </a:prstGeom>
        <a:solidFill>
          <a:schemeClr val="bg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100">
              <a:solidFill>
                <a:schemeClr val="tx1"/>
              </a:solidFill>
            </a:rPr>
            <a:t>OBJETIVO</a:t>
          </a:r>
        </a:p>
      </xdr:txBody>
    </xdr: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237565</xdr:colOff>
          <xdr:row>0</xdr:row>
          <xdr:rowOff>114299</xdr:rowOff>
        </xdr:from>
        <xdr:to>
          <xdr:col>5</xdr:col>
          <xdr:colOff>252133</xdr:colOff>
          <xdr:row>0</xdr:row>
          <xdr:rowOff>574300</xdr:rowOff>
        </xdr:to>
        <xdr:sp macro="" textlink="">
          <xdr:nvSpPr>
            <xdr:cNvPr id="5148" name="Button 28" hidden="1">
              <a:extLst>
                <a:ext uri="{63B3BB69-23CF-44E3-9099-C40C66FF867C}">
                  <a14:compatExt spid="_x0000_s514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000" b="0" i="0" u="none" strike="noStrike" baseline="0">
                  <a:solidFill>
                    <a:srgbClr val="000000"/>
                  </a:solidFill>
                  <a:latin typeface="Century Gothic"/>
                </a:rPr>
                <a:t>INGRESO DE DATOS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447675</xdr:colOff>
          <xdr:row>0</xdr:row>
          <xdr:rowOff>114300</xdr:rowOff>
        </xdr:from>
        <xdr:to>
          <xdr:col>11</xdr:col>
          <xdr:colOff>314325</xdr:colOff>
          <xdr:row>0</xdr:row>
          <xdr:rowOff>476250</xdr:rowOff>
        </xdr:to>
        <xdr:sp macro="" textlink="">
          <xdr:nvSpPr>
            <xdr:cNvPr id="5149" name="Button 29" hidden="1">
              <a:extLst>
                <a:ext uri="{63B3BB69-23CF-44E3-9099-C40C66FF867C}">
                  <a14:compatExt spid="_x0000_s51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000" b="0" i="0" u="none" strike="noStrike" baseline="0">
                  <a:solidFill>
                    <a:srgbClr val="000000"/>
                  </a:solidFill>
                  <a:latin typeface="Century Gothic"/>
                </a:rPr>
                <a:t>SIMULADOR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162486</xdr:colOff>
          <xdr:row>0</xdr:row>
          <xdr:rowOff>86285</xdr:rowOff>
        </xdr:from>
        <xdr:to>
          <xdr:col>7</xdr:col>
          <xdr:colOff>714376</xdr:colOff>
          <xdr:row>0</xdr:row>
          <xdr:rowOff>532279</xdr:rowOff>
        </xdr:to>
        <xdr:sp macro="" textlink="">
          <xdr:nvSpPr>
            <xdr:cNvPr id="5150" name="Button 30" hidden="1">
              <a:extLst>
                <a:ext uri="{63B3BB69-23CF-44E3-9099-C40C66FF867C}">
                  <a14:compatExt spid="_x0000_s51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000" b="0" i="0" u="none" strike="noStrike" baseline="0">
                  <a:solidFill>
                    <a:srgbClr val="000000"/>
                  </a:solidFill>
                  <a:latin typeface="Century Gothic"/>
                </a:rPr>
                <a:t>COSTO DE PRODUCCIÓN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371475</xdr:colOff>
          <xdr:row>0</xdr:row>
          <xdr:rowOff>114300</xdr:rowOff>
        </xdr:from>
        <xdr:to>
          <xdr:col>10</xdr:col>
          <xdr:colOff>276225</xdr:colOff>
          <xdr:row>0</xdr:row>
          <xdr:rowOff>476250</xdr:rowOff>
        </xdr:to>
        <xdr:sp macro="" textlink="">
          <xdr:nvSpPr>
            <xdr:cNvPr id="5152" name="Button 32" hidden="1">
              <a:extLst>
                <a:ext uri="{63B3BB69-23CF-44E3-9099-C40C66FF867C}">
                  <a14:compatExt spid="_x0000_s515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s-MX" sz="900" b="0" i="0" u="none" strike="noStrike" baseline="0">
                  <a:solidFill>
                    <a:srgbClr val="000000"/>
                  </a:solidFill>
                  <a:latin typeface="Century Gothic"/>
                </a:rPr>
                <a:t>GASTOS ADMINISTRATIVOS Y DE VENTA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533400</xdr:colOff>
          <xdr:row>0</xdr:row>
          <xdr:rowOff>114300</xdr:rowOff>
        </xdr:from>
        <xdr:to>
          <xdr:col>12</xdr:col>
          <xdr:colOff>552450</xdr:colOff>
          <xdr:row>0</xdr:row>
          <xdr:rowOff>476250</xdr:rowOff>
        </xdr:to>
        <xdr:sp macro="" textlink="">
          <xdr:nvSpPr>
            <xdr:cNvPr id="5153" name="Button 33" hidden="1">
              <a:extLst>
                <a:ext uri="{63B3BB69-23CF-44E3-9099-C40C66FF867C}">
                  <a14:compatExt spid="_x0000_s5153"/>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es-MX" sz="1100" b="0" i="0" u="none" strike="noStrike" baseline="0">
                  <a:solidFill>
                    <a:srgbClr val="000000"/>
                  </a:solidFill>
                  <a:latin typeface="Century Gothic"/>
                </a:rPr>
                <a:t>FNE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38100</xdr:colOff>
          <xdr:row>0</xdr:row>
          <xdr:rowOff>114300</xdr:rowOff>
        </xdr:from>
        <xdr:to>
          <xdr:col>15</xdr:col>
          <xdr:colOff>685800</xdr:colOff>
          <xdr:row>0</xdr:row>
          <xdr:rowOff>476250</xdr:rowOff>
        </xdr:to>
        <xdr:sp macro="" textlink="">
          <xdr:nvSpPr>
            <xdr:cNvPr id="5154" name="Button 34" hidden="1">
              <a:extLst>
                <a:ext uri="{63B3BB69-23CF-44E3-9099-C40C66FF867C}">
                  <a14:compatExt spid="_x0000_s5154"/>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s-MX" sz="900" b="0" i="0" u="none" strike="noStrike" baseline="0">
                  <a:solidFill>
                    <a:srgbClr val="000000"/>
                  </a:solidFill>
                  <a:latin typeface="Century Gothic"/>
                </a:rPr>
                <a:t>MÉTODOS PARA LA EVALUACIÓN DE PROYECTOS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95250</xdr:colOff>
          <xdr:row>0</xdr:row>
          <xdr:rowOff>114300</xdr:rowOff>
        </xdr:from>
        <xdr:to>
          <xdr:col>1</xdr:col>
          <xdr:colOff>266700</xdr:colOff>
          <xdr:row>0</xdr:row>
          <xdr:rowOff>476250</xdr:rowOff>
        </xdr:to>
        <xdr:sp macro="" textlink="">
          <xdr:nvSpPr>
            <xdr:cNvPr id="5155" name="Button 35" hidden="1">
              <a:extLst>
                <a:ext uri="{63B3BB69-23CF-44E3-9099-C40C66FF867C}">
                  <a14:compatExt spid="_x0000_s515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000" b="0" i="0" u="none" strike="noStrike" baseline="0">
                  <a:solidFill>
                    <a:srgbClr val="000000"/>
                  </a:solidFill>
                  <a:latin typeface="Century Gothic"/>
                </a:rPr>
                <a:t>PORTADA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200025</xdr:colOff>
          <xdr:row>0</xdr:row>
          <xdr:rowOff>114300</xdr:rowOff>
        </xdr:from>
        <xdr:to>
          <xdr:col>17</xdr:col>
          <xdr:colOff>304800</xdr:colOff>
          <xdr:row>0</xdr:row>
          <xdr:rowOff>485775</xdr:rowOff>
        </xdr:to>
        <xdr:sp macro="" textlink="">
          <xdr:nvSpPr>
            <xdr:cNvPr id="5156" name="Button 36" hidden="1">
              <a:extLst>
                <a:ext uri="{63B3BB69-23CF-44E3-9099-C40C66FF867C}">
                  <a14:compatExt spid="_x0000_s5156"/>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s-MX" sz="900" b="0" i="0" u="none" strike="noStrike" baseline="0">
                  <a:solidFill>
                    <a:srgbClr val="000000"/>
                  </a:solidFill>
                  <a:latin typeface="Century Gothic"/>
                </a:rPr>
                <a:t>INFORME</a:t>
              </a:r>
            </a:p>
          </xdr:txBody>
        </xdr:sp>
        <xdr:clientData fPrintsWithSheet="0"/>
      </xdr:twoCellAnchor>
    </mc:Choice>
    <mc:Fallback/>
  </mc:AlternateContent>
  <xdr:twoCellAnchor>
    <xdr:from>
      <xdr:col>17</xdr:col>
      <xdr:colOff>498401</xdr:colOff>
      <xdr:row>0</xdr:row>
      <xdr:rowOff>110756</xdr:rowOff>
    </xdr:from>
    <xdr:to>
      <xdr:col>19</xdr:col>
      <xdr:colOff>502730</xdr:colOff>
      <xdr:row>0</xdr:row>
      <xdr:rowOff>482998</xdr:rowOff>
    </xdr:to>
    <xdr:sp macro="" textlink="">
      <xdr:nvSpPr>
        <xdr:cNvPr id="11" name="Rectángulo 10">
          <a:hlinkClick xmlns:r="http://schemas.openxmlformats.org/officeDocument/2006/relationships" r:id="rId1"/>
        </xdr:cNvPr>
        <xdr:cNvSpPr/>
      </xdr:nvSpPr>
      <xdr:spPr>
        <a:xfrm>
          <a:off x="14553314" y="110756"/>
          <a:ext cx="1532759" cy="372242"/>
        </a:xfrm>
        <a:prstGeom prst="rect">
          <a:avLst/>
        </a:prstGeom>
        <a:solidFill>
          <a:schemeClr val="bg1">
            <a:lumMod val="95000"/>
          </a:schemeClr>
        </a:solidFill>
        <a:effectLst>
          <a:outerShdw blurRad="50800" dist="38100" dir="2700000" algn="tl" rotWithShape="0">
            <a:prstClr val="black">
              <a:alpha val="40000"/>
            </a:prstClr>
          </a:outerShdw>
        </a:effectLst>
      </xdr:spPr>
      <xdr:style>
        <a:lnRef idx="1">
          <a:schemeClr val="accent3"/>
        </a:lnRef>
        <a:fillRef idx="2">
          <a:schemeClr val="accent3"/>
        </a:fillRef>
        <a:effectRef idx="1">
          <a:schemeClr val="accent3"/>
        </a:effectRef>
        <a:fontRef idx="minor">
          <a:schemeClr val="dk1"/>
        </a:fontRef>
      </xdr:style>
      <xdr:txBody>
        <a:bodyPr vertOverflow="clip" horzOverflow="clip" rtlCol="0" anchor="ctr"/>
        <a:lstStyle/>
        <a:p>
          <a:pPr algn="ctr"/>
          <a:r>
            <a:rPr lang="es-MX" sz="900"/>
            <a:t>BALANCE </a:t>
          </a:r>
          <a:r>
            <a:rPr lang="es-MX" sz="900">
              <a:latin typeface="Century Gothic" panose="020B0502020202020204" pitchFamily="34" charset="0"/>
            </a:rPr>
            <a:t>GENERAL</a:t>
          </a:r>
        </a:p>
        <a:p>
          <a:pPr algn="l"/>
          <a:endParaRPr lang="es-MX" sz="900"/>
        </a:p>
      </xdr:txBody>
    </xdr:sp>
    <xdr:clientData/>
  </xdr:twoCellAnchor>
  <xdr:twoCellAnchor>
    <xdr:from>
      <xdr:col>2</xdr:col>
      <xdr:colOff>770405</xdr:colOff>
      <xdr:row>0</xdr:row>
      <xdr:rowOff>84044</xdr:rowOff>
    </xdr:from>
    <xdr:to>
      <xdr:col>3</xdr:col>
      <xdr:colOff>732840</xdr:colOff>
      <xdr:row>0</xdr:row>
      <xdr:rowOff>513716</xdr:rowOff>
    </xdr:to>
    <xdr:sp macro="" textlink="">
      <xdr:nvSpPr>
        <xdr:cNvPr id="12" name="Rectángulo 11">
          <a:hlinkClick xmlns:r="http://schemas.openxmlformats.org/officeDocument/2006/relationships" r:id="rId2"/>
        </xdr:cNvPr>
        <xdr:cNvSpPr/>
      </xdr:nvSpPr>
      <xdr:spPr>
        <a:xfrm>
          <a:off x="2255184" y="84044"/>
          <a:ext cx="844899" cy="429672"/>
        </a:xfrm>
        <a:prstGeom prst="rect">
          <a:avLst/>
        </a:prstGeom>
        <a:solidFill>
          <a:schemeClr val="bg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100">
              <a:solidFill>
                <a:schemeClr val="tx1"/>
              </a:solidFill>
            </a:rPr>
            <a:t>OBJETIVO</a:t>
          </a:r>
        </a:p>
      </xdr:txBody>
    </xdr:sp>
    <xdr:clientData/>
  </xdr:twoCellAnchor>
  <xdr:twoCellAnchor>
    <xdr:from>
      <xdr:col>1</xdr:col>
      <xdr:colOff>546286</xdr:colOff>
      <xdr:row>0</xdr:row>
      <xdr:rowOff>56030</xdr:rowOff>
    </xdr:from>
    <xdr:to>
      <xdr:col>2</xdr:col>
      <xdr:colOff>551330</xdr:colOff>
      <xdr:row>0</xdr:row>
      <xdr:rowOff>513230</xdr:rowOff>
    </xdr:to>
    <xdr:sp macro="" textlink="">
      <xdr:nvSpPr>
        <xdr:cNvPr id="13" name="Rectángulo 12">
          <a:hlinkClick xmlns:r="http://schemas.openxmlformats.org/officeDocument/2006/relationships" r:id="rId3"/>
        </xdr:cNvPr>
        <xdr:cNvSpPr/>
      </xdr:nvSpPr>
      <xdr:spPr>
        <a:xfrm>
          <a:off x="1302683" y="56030"/>
          <a:ext cx="733426" cy="457200"/>
        </a:xfrm>
        <a:prstGeom prst="rect">
          <a:avLst/>
        </a:prstGeom>
        <a:solidFill>
          <a:schemeClr val="bg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100">
              <a:solidFill>
                <a:schemeClr val="tx1"/>
              </a:solidFill>
            </a:rPr>
            <a:t>MARCO TEORICO</a:t>
          </a:r>
          <a:r>
            <a:rPr lang="es-MX" sz="1100" b="0" i="0" u="none" strike="noStrike">
              <a:solidFill>
                <a:schemeClr val="lt1"/>
              </a:solidFill>
              <a:effectLst/>
              <a:latin typeface="+mn-lt"/>
              <a:ea typeface="+mn-ea"/>
              <a:cs typeface="+mn-cs"/>
            </a:rPr>
            <a:t>  </a:t>
          </a:r>
          <a:endParaRPr lang="es-MX" sz="1100">
            <a:solidFill>
              <a:schemeClr val="tx1"/>
            </a:solidFill>
          </a:endParaRPr>
        </a:p>
      </xdr:txBody>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223157</xdr:colOff>
          <xdr:row>0</xdr:row>
          <xdr:rowOff>100693</xdr:rowOff>
        </xdr:from>
        <xdr:to>
          <xdr:col>4</xdr:col>
          <xdr:colOff>703489</xdr:colOff>
          <xdr:row>0</xdr:row>
          <xdr:rowOff>462643</xdr:rowOff>
        </xdr:to>
        <xdr:sp macro="" textlink="">
          <xdr:nvSpPr>
            <xdr:cNvPr id="6163" name="Button 19" hidden="1">
              <a:extLst>
                <a:ext uri="{63B3BB69-23CF-44E3-9099-C40C66FF867C}">
                  <a14:compatExt spid="_x0000_s616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000" b="0" i="0" u="none" strike="noStrike" baseline="0">
                  <a:solidFill>
                    <a:srgbClr val="000000"/>
                  </a:solidFill>
                  <a:latin typeface="Century Gothic"/>
                </a:rPr>
                <a:t>INGRESO DE DATOS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171450</xdr:colOff>
          <xdr:row>0</xdr:row>
          <xdr:rowOff>114300</xdr:rowOff>
        </xdr:from>
        <xdr:to>
          <xdr:col>9</xdr:col>
          <xdr:colOff>0</xdr:colOff>
          <xdr:row>0</xdr:row>
          <xdr:rowOff>476250</xdr:rowOff>
        </xdr:to>
        <xdr:sp macro="" textlink="">
          <xdr:nvSpPr>
            <xdr:cNvPr id="6164" name="Button 20" hidden="1">
              <a:extLst>
                <a:ext uri="{63B3BB69-23CF-44E3-9099-C40C66FF867C}">
                  <a14:compatExt spid="_x0000_s616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000" b="0" i="0" u="none" strike="noStrike" baseline="0">
                  <a:solidFill>
                    <a:srgbClr val="000000"/>
                  </a:solidFill>
                  <a:latin typeface="Century Gothic"/>
                </a:rPr>
                <a:t>SIMULADOR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985157</xdr:colOff>
          <xdr:row>0</xdr:row>
          <xdr:rowOff>87085</xdr:rowOff>
        </xdr:from>
        <xdr:to>
          <xdr:col>6</xdr:col>
          <xdr:colOff>145597</xdr:colOff>
          <xdr:row>0</xdr:row>
          <xdr:rowOff>449035</xdr:rowOff>
        </xdr:to>
        <xdr:sp macro="" textlink="">
          <xdr:nvSpPr>
            <xdr:cNvPr id="6165" name="Button 21" hidden="1">
              <a:extLst>
                <a:ext uri="{63B3BB69-23CF-44E3-9099-C40C66FF867C}">
                  <a14:compatExt spid="_x0000_s616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000" b="0" i="0" u="none" strike="noStrike" baseline="0">
                  <a:solidFill>
                    <a:srgbClr val="000000"/>
                  </a:solidFill>
                  <a:latin typeface="Century Gothic"/>
                </a:rPr>
                <a:t>COSTO DE PRODUCCIÓN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506185</xdr:colOff>
          <xdr:row>0</xdr:row>
          <xdr:rowOff>100693</xdr:rowOff>
        </xdr:from>
        <xdr:to>
          <xdr:col>7</xdr:col>
          <xdr:colOff>972910</xdr:colOff>
          <xdr:row>0</xdr:row>
          <xdr:rowOff>462643</xdr:rowOff>
        </xdr:to>
        <xdr:sp macro="" textlink="">
          <xdr:nvSpPr>
            <xdr:cNvPr id="6166" name="Button 22" hidden="1">
              <a:extLst>
                <a:ext uri="{63B3BB69-23CF-44E3-9099-C40C66FF867C}">
                  <a14:compatExt spid="_x0000_s616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000" b="0" i="0" u="none" strike="noStrike" baseline="0">
                  <a:solidFill>
                    <a:srgbClr val="000000"/>
                  </a:solidFill>
                  <a:latin typeface="Century Gothic"/>
                </a:rPr>
                <a:t>DEPRECIACIÓN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219075</xdr:colOff>
          <xdr:row>0</xdr:row>
          <xdr:rowOff>114300</xdr:rowOff>
        </xdr:from>
        <xdr:to>
          <xdr:col>9</xdr:col>
          <xdr:colOff>1047750</xdr:colOff>
          <xdr:row>0</xdr:row>
          <xdr:rowOff>476250</xdr:rowOff>
        </xdr:to>
        <xdr:sp macro="" textlink="">
          <xdr:nvSpPr>
            <xdr:cNvPr id="6168" name="Button 24" hidden="1">
              <a:extLst>
                <a:ext uri="{63B3BB69-23CF-44E3-9099-C40C66FF867C}">
                  <a14:compatExt spid="_x0000_s6168"/>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es-MX" sz="1100" b="0" i="0" u="none" strike="noStrike" baseline="0">
                  <a:solidFill>
                    <a:srgbClr val="000000"/>
                  </a:solidFill>
                  <a:latin typeface="Century Gothic"/>
                </a:rPr>
                <a:t>FNE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123825</xdr:colOff>
          <xdr:row>0</xdr:row>
          <xdr:rowOff>114300</xdr:rowOff>
        </xdr:from>
        <xdr:to>
          <xdr:col>11</xdr:col>
          <xdr:colOff>1123950</xdr:colOff>
          <xdr:row>0</xdr:row>
          <xdr:rowOff>476250</xdr:rowOff>
        </xdr:to>
        <xdr:sp macro="" textlink="">
          <xdr:nvSpPr>
            <xdr:cNvPr id="6169" name="Button 25" hidden="1">
              <a:extLst>
                <a:ext uri="{63B3BB69-23CF-44E3-9099-C40C66FF867C}">
                  <a14:compatExt spid="_x0000_s616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s-MX" sz="900" b="0" i="0" u="none" strike="noStrike" baseline="0">
                  <a:solidFill>
                    <a:srgbClr val="000000"/>
                  </a:solidFill>
                  <a:latin typeface="Century Gothic"/>
                </a:rPr>
                <a:t>MÉTODOS PARA LA EVALUACIÓN DE PROYECTOS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95250</xdr:colOff>
          <xdr:row>0</xdr:row>
          <xdr:rowOff>114300</xdr:rowOff>
        </xdr:from>
        <xdr:to>
          <xdr:col>1</xdr:col>
          <xdr:colOff>266700</xdr:colOff>
          <xdr:row>0</xdr:row>
          <xdr:rowOff>476250</xdr:rowOff>
        </xdr:to>
        <xdr:sp macro="" textlink="">
          <xdr:nvSpPr>
            <xdr:cNvPr id="6170" name="Button 26" hidden="1">
              <a:extLst>
                <a:ext uri="{63B3BB69-23CF-44E3-9099-C40C66FF867C}">
                  <a14:compatExt spid="_x0000_s617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000" b="0" i="0" u="none" strike="noStrike" baseline="0">
                  <a:solidFill>
                    <a:srgbClr val="000000"/>
                  </a:solidFill>
                  <a:latin typeface="Century Gothic"/>
                </a:rPr>
                <a:t>PORTADA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228600</xdr:colOff>
          <xdr:row>0</xdr:row>
          <xdr:rowOff>114300</xdr:rowOff>
        </xdr:from>
        <xdr:to>
          <xdr:col>13</xdr:col>
          <xdr:colOff>333375</xdr:colOff>
          <xdr:row>0</xdr:row>
          <xdr:rowOff>485775</xdr:rowOff>
        </xdr:to>
        <xdr:sp macro="" textlink="">
          <xdr:nvSpPr>
            <xdr:cNvPr id="6171" name="Button 27" hidden="1">
              <a:extLst>
                <a:ext uri="{63B3BB69-23CF-44E3-9099-C40C66FF867C}">
                  <a14:compatExt spid="_x0000_s617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s-MX" sz="900" b="0" i="0" u="none" strike="noStrike" baseline="0">
                  <a:solidFill>
                    <a:srgbClr val="000000"/>
                  </a:solidFill>
                  <a:latin typeface="Century Gothic"/>
                </a:rPr>
                <a:t>INFORME</a:t>
              </a:r>
            </a:p>
          </xdr:txBody>
        </xdr:sp>
        <xdr:clientData fPrintsWithSheet="0"/>
      </xdr:twoCellAnchor>
    </mc:Choice>
    <mc:Fallback/>
  </mc:AlternateContent>
  <xdr:twoCellAnchor>
    <xdr:from>
      <xdr:col>13</xdr:col>
      <xdr:colOff>525517</xdr:colOff>
      <xdr:row>0</xdr:row>
      <xdr:rowOff>109482</xdr:rowOff>
    </xdr:from>
    <xdr:to>
      <xdr:col>15</xdr:col>
      <xdr:colOff>525517</xdr:colOff>
      <xdr:row>0</xdr:row>
      <xdr:rowOff>481724</xdr:rowOff>
    </xdr:to>
    <xdr:sp macro="" textlink="">
      <xdr:nvSpPr>
        <xdr:cNvPr id="11" name="Rectángulo 10">
          <a:hlinkClick xmlns:r="http://schemas.openxmlformats.org/officeDocument/2006/relationships" r:id="rId1"/>
        </xdr:cNvPr>
        <xdr:cNvSpPr/>
      </xdr:nvSpPr>
      <xdr:spPr>
        <a:xfrm>
          <a:off x="14539310" y="109482"/>
          <a:ext cx="1532759" cy="372242"/>
        </a:xfrm>
        <a:prstGeom prst="rect">
          <a:avLst/>
        </a:prstGeom>
        <a:solidFill>
          <a:schemeClr val="bg1">
            <a:lumMod val="95000"/>
          </a:schemeClr>
        </a:solidFill>
        <a:effectLst>
          <a:outerShdw blurRad="50800" dist="38100" dir="2700000" algn="tl" rotWithShape="0">
            <a:prstClr val="black">
              <a:alpha val="40000"/>
            </a:prstClr>
          </a:outerShdw>
        </a:effectLst>
      </xdr:spPr>
      <xdr:style>
        <a:lnRef idx="1">
          <a:schemeClr val="accent3"/>
        </a:lnRef>
        <a:fillRef idx="2">
          <a:schemeClr val="accent3"/>
        </a:fillRef>
        <a:effectRef idx="1">
          <a:schemeClr val="accent3"/>
        </a:effectRef>
        <a:fontRef idx="minor">
          <a:schemeClr val="dk1"/>
        </a:fontRef>
      </xdr:style>
      <xdr:txBody>
        <a:bodyPr vertOverflow="clip" horzOverflow="clip" rtlCol="0" anchor="ctr"/>
        <a:lstStyle/>
        <a:p>
          <a:pPr algn="ctr"/>
          <a:r>
            <a:rPr lang="es-MX" sz="900"/>
            <a:t>BALANCE </a:t>
          </a:r>
          <a:r>
            <a:rPr lang="es-MX" sz="900">
              <a:latin typeface="Century Gothic" panose="020B0502020202020204" pitchFamily="34" charset="0"/>
            </a:rPr>
            <a:t>GENERAL</a:t>
          </a:r>
        </a:p>
        <a:p>
          <a:pPr algn="l"/>
          <a:endParaRPr lang="es-MX" sz="900"/>
        </a:p>
      </xdr:txBody>
    </xdr:sp>
    <xdr:clientData/>
  </xdr:twoCellAnchor>
  <xdr:twoCellAnchor>
    <xdr:from>
      <xdr:col>2</xdr:col>
      <xdr:colOff>517071</xdr:colOff>
      <xdr:row>0</xdr:row>
      <xdr:rowOff>95250</xdr:rowOff>
    </xdr:from>
    <xdr:to>
      <xdr:col>3</xdr:col>
      <xdr:colOff>55684</xdr:colOff>
      <xdr:row>0</xdr:row>
      <xdr:rowOff>524922</xdr:rowOff>
    </xdr:to>
    <xdr:sp macro="" textlink="">
      <xdr:nvSpPr>
        <xdr:cNvPr id="12" name="Rectángulo 11">
          <a:hlinkClick xmlns:r="http://schemas.openxmlformats.org/officeDocument/2006/relationships" r:id="rId2"/>
        </xdr:cNvPr>
        <xdr:cNvSpPr/>
      </xdr:nvSpPr>
      <xdr:spPr>
        <a:xfrm>
          <a:off x="2054678" y="95250"/>
          <a:ext cx="844899" cy="429672"/>
        </a:xfrm>
        <a:prstGeom prst="rect">
          <a:avLst/>
        </a:prstGeom>
        <a:solidFill>
          <a:schemeClr val="bg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100">
              <a:solidFill>
                <a:schemeClr val="tx1"/>
              </a:solidFill>
            </a:rPr>
            <a:t>OBJETIVO</a:t>
          </a:r>
        </a:p>
      </xdr:txBody>
    </xdr:sp>
    <xdr:clientData/>
  </xdr:twoCellAnchor>
  <xdr:twoCellAnchor>
    <xdr:from>
      <xdr:col>1</xdr:col>
      <xdr:colOff>381000</xdr:colOff>
      <xdr:row>0</xdr:row>
      <xdr:rowOff>54428</xdr:rowOff>
    </xdr:from>
    <xdr:to>
      <xdr:col>2</xdr:col>
      <xdr:colOff>338819</xdr:colOff>
      <xdr:row>0</xdr:row>
      <xdr:rowOff>511628</xdr:rowOff>
    </xdr:to>
    <xdr:sp macro="" textlink="">
      <xdr:nvSpPr>
        <xdr:cNvPr id="13" name="Rectángulo 12">
          <a:hlinkClick xmlns:r="http://schemas.openxmlformats.org/officeDocument/2006/relationships" r:id="rId3"/>
        </xdr:cNvPr>
        <xdr:cNvSpPr/>
      </xdr:nvSpPr>
      <xdr:spPr>
        <a:xfrm>
          <a:off x="1143000" y="54428"/>
          <a:ext cx="733426" cy="457200"/>
        </a:xfrm>
        <a:prstGeom prst="rect">
          <a:avLst/>
        </a:prstGeom>
        <a:solidFill>
          <a:schemeClr val="bg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100">
              <a:solidFill>
                <a:schemeClr val="tx1"/>
              </a:solidFill>
            </a:rPr>
            <a:t>MARCO TEORICO</a:t>
          </a:r>
          <a:r>
            <a:rPr lang="es-MX" sz="1100" b="0" i="0" u="none" strike="noStrike">
              <a:solidFill>
                <a:schemeClr val="lt1"/>
              </a:solidFill>
              <a:effectLst/>
              <a:latin typeface="+mn-lt"/>
              <a:ea typeface="+mn-ea"/>
              <a:cs typeface="+mn-cs"/>
            </a:rPr>
            <a:t>  </a:t>
          </a:r>
          <a:endParaRPr lang="es-MX" sz="1100">
            <a:solidFill>
              <a:schemeClr val="tx1"/>
            </a:solidFill>
          </a:endParaRPr>
        </a:p>
      </xdr:txBody>
    </xdr:sp>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180975</xdr:colOff>
          <xdr:row>6</xdr:row>
          <xdr:rowOff>57150</xdr:rowOff>
        </xdr:from>
        <xdr:to>
          <xdr:col>6</xdr:col>
          <xdr:colOff>533400</xdr:colOff>
          <xdr:row>7</xdr:row>
          <xdr:rowOff>123825</xdr:rowOff>
        </xdr:to>
        <xdr:sp macro="" textlink="">
          <xdr:nvSpPr>
            <xdr:cNvPr id="7178" name="Button 10" hidden="1">
              <a:extLst>
                <a:ext uri="{63B3BB69-23CF-44E3-9099-C40C66FF867C}">
                  <a14:compatExt spid="_x0000_s7178"/>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es-MX" sz="1100" b="0" i="0" u="none" strike="noStrike" baseline="0">
                  <a:solidFill>
                    <a:srgbClr val="000000"/>
                  </a:solidFill>
                  <a:latin typeface="Century Gothic"/>
                </a:rPr>
                <a:t>INGRESOS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647700</xdr:colOff>
          <xdr:row>6</xdr:row>
          <xdr:rowOff>76200</xdr:rowOff>
        </xdr:from>
        <xdr:to>
          <xdr:col>9</xdr:col>
          <xdr:colOff>1000125</xdr:colOff>
          <xdr:row>7</xdr:row>
          <xdr:rowOff>133350</xdr:rowOff>
        </xdr:to>
        <xdr:sp macro="" textlink="">
          <xdr:nvSpPr>
            <xdr:cNvPr id="7179" name="Button 11" hidden="1">
              <a:extLst>
                <a:ext uri="{63B3BB69-23CF-44E3-9099-C40C66FF867C}">
                  <a14:compatExt spid="_x0000_s7179"/>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es-MX" sz="1100" b="0" i="0" u="none" strike="noStrike" baseline="0">
                  <a:solidFill>
                    <a:srgbClr val="000000"/>
                  </a:solidFill>
                  <a:latin typeface="Century Gothic"/>
                </a:rPr>
                <a:t>FLUJOS POR AÑO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1085850</xdr:colOff>
          <xdr:row>6</xdr:row>
          <xdr:rowOff>66675</xdr:rowOff>
        </xdr:from>
        <xdr:to>
          <xdr:col>8</xdr:col>
          <xdr:colOff>152400</xdr:colOff>
          <xdr:row>7</xdr:row>
          <xdr:rowOff>133350</xdr:rowOff>
        </xdr:to>
        <xdr:sp macro="" textlink="">
          <xdr:nvSpPr>
            <xdr:cNvPr id="7180" name="Button 12" hidden="1">
              <a:extLst>
                <a:ext uri="{63B3BB69-23CF-44E3-9099-C40C66FF867C}">
                  <a14:compatExt spid="_x0000_s718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es-MX" sz="1100" b="0" i="0" u="none" strike="noStrike" baseline="0">
                  <a:solidFill>
                    <a:srgbClr val="000000"/>
                  </a:solidFill>
                  <a:latin typeface="Century Gothic"/>
                </a:rPr>
                <a:t>EGRESOS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247650</xdr:colOff>
          <xdr:row>22</xdr:row>
          <xdr:rowOff>57150</xdr:rowOff>
        </xdr:from>
        <xdr:to>
          <xdr:col>1</xdr:col>
          <xdr:colOff>1885950</xdr:colOff>
          <xdr:row>23</xdr:row>
          <xdr:rowOff>180975</xdr:rowOff>
        </xdr:to>
        <xdr:sp macro="" textlink="">
          <xdr:nvSpPr>
            <xdr:cNvPr id="7181" name="Button 13" hidden="1">
              <a:extLst>
                <a:ext uri="{63B3BB69-23CF-44E3-9099-C40C66FF867C}">
                  <a14:compatExt spid="_x0000_s7181"/>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es-MX" sz="1100" b="0" i="0" u="none" strike="noStrike" baseline="0">
                  <a:solidFill>
                    <a:srgbClr val="000000"/>
                  </a:solidFill>
                  <a:latin typeface="Century Gothic"/>
                </a:rPr>
                <a:t>REGRESAR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247650</xdr:colOff>
          <xdr:row>42</xdr:row>
          <xdr:rowOff>57150</xdr:rowOff>
        </xdr:from>
        <xdr:to>
          <xdr:col>1</xdr:col>
          <xdr:colOff>1885950</xdr:colOff>
          <xdr:row>43</xdr:row>
          <xdr:rowOff>180975</xdr:rowOff>
        </xdr:to>
        <xdr:sp macro="" textlink="">
          <xdr:nvSpPr>
            <xdr:cNvPr id="7182" name="Button 14" hidden="1">
              <a:extLst>
                <a:ext uri="{63B3BB69-23CF-44E3-9099-C40C66FF867C}">
                  <a14:compatExt spid="_x0000_s7182"/>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es-MX" sz="1100" b="0" i="0" u="none" strike="noStrike" baseline="0">
                  <a:solidFill>
                    <a:srgbClr val="000000"/>
                  </a:solidFill>
                  <a:latin typeface="Century Gothic"/>
                </a:rPr>
                <a:t>REGRESAR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247650</xdr:colOff>
          <xdr:row>53</xdr:row>
          <xdr:rowOff>57150</xdr:rowOff>
        </xdr:from>
        <xdr:to>
          <xdr:col>1</xdr:col>
          <xdr:colOff>1885950</xdr:colOff>
          <xdr:row>54</xdr:row>
          <xdr:rowOff>247650</xdr:rowOff>
        </xdr:to>
        <xdr:sp macro="" textlink="">
          <xdr:nvSpPr>
            <xdr:cNvPr id="7184" name="Button 16" hidden="1">
              <a:extLst>
                <a:ext uri="{63B3BB69-23CF-44E3-9099-C40C66FF867C}">
                  <a14:compatExt spid="_x0000_s7184"/>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es-MX" sz="1100" b="0" i="0" u="none" strike="noStrike" baseline="0">
                  <a:solidFill>
                    <a:srgbClr val="000000"/>
                  </a:solidFill>
                  <a:latin typeface="Century Gothic"/>
                </a:rPr>
                <a:t>REGRESAR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2549978</xdr:colOff>
          <xdr:row>0</xdr:row>
          <xdr:rowOff>155122</xdr:rowOff>
        </xdr:from>
        <xdr:to>
          <xdr:col>2</xdr:col>
          <xdr:colOff>1496785</xdr:colOff>
          <xdr:row>0</xdr:row>
          <xdr:rowOff>503465</xdr:rowOff>
        </xdr:to>
        <xdr:sp macro="" textlink="">
          <xdr:nvSpPr>
            <xdr:cNvPr id="7187" name="Button 19" hidden="1">
              <a:extLst>
                <a:ext uri="{63B3BB69-23CF-44E3-9099-C40C66FF867C}">
                  <a14:compatExt spid="_x0000_s718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000" b="0" i="0" u="none" strike="noStrike" baseline="0">
                  <a:solidFill>
                    <a:srgbClr val="000000"/>
                  </a:solidFill>
                  <a:latin typeface="Century Gothic"/>
                </a:rPr>
                <a:t>INGRESO DE DATOS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243568</xdr:colOff>
          <xdr:row>0</xdr:row>
          <xdr:rowOff>141514</xdr:rowOff>
        </xdr:from>
        <xdr:to>
          <xdr:col>7</xdr:col>
          <xdr:colOff>1427389</xdr:colOff>
          <xdr:row>0</xdr:row>
          <xdr:rowOff>503464</xdr:rowOff>
        </xdr:to>
        <xdr:sp macro="" textlink="">
          <xdr:nvSpPr>
            <xdr:cNvPr id="7188" name="Button 20" hidden="1">
              <a:extLst>
                <a:ext uri="{63B3BB69-23CF-44E3-9099-C40C66FF867C}">
                  <a14:compatExt spid="_x0000_s718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000" b="0" i="0" u="none" strike="noStrike" baseline="0">
                  <a:solidFill>
                    <a:srgbClr val="000000"/>
                  </a:solidFill>
                  <a:latin typeface="Century Gothic"/>
                </a:rPr>
                <a:t>SIMULADOR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76200</xdr:colOff>
          <xdr:row>0</xdr:row>
          <xdr:rowOff>127908</xdr:rowOff>
        </xdr:from>
        <xdr:to>
          <xdr:col>4</xdr:col>
          <xdr:colOff>246290</xdr:colOff>
          <xdr:row>0</xdr:row>
          <xdr:rowOff>489858</xdr:rowOff>
        </xdr:to>
        <xdr:sp macro="" textlink="">
          <xdr:nvSpPr>
            <xdr:cNvPr id="7189" name="Button 21" hidden="1">
              <a:extLst>
                <a:ext uri="{63B3BB69-23CF-44E3-9099-C40C66FF867C}">
                  <a14:compatExt spid="_x0000_s718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000" b="0" i="0" u="none" strike="noStrike" baseline="0">
                  <a:solidFill>
                    <a:srgbClr val="000000"/>
                  </a:solidFill>
                  <a:latin typeface="Century Gothic"/>
                </a:rPr>
                <a:t>COSTO DE PRODUCCIÓN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744311</xdr:colOff>
          <xdr:row>0</xdr:row>
          <xdr:rowOff>127907</xdr:rowOff>
        </xdr:from>
        <xdr:to>
          <xdr:col>5</xdr:col>
          <xdr:colOff>653142</xdr:colOff>
          <xdr:row>0</xdr:row>
          <xdr:rowOff>476250</xdr:rowOff>
        </xdr:to>
        <xdr:sp macro="" textlink="">
          <xdr:nvSpPr>
            <xdr:cNvPr id="7190" name="Button 22" hidden="1">
              <a:extLst>
                <a:ext uri="{63B3BB69-23CF-44E3-9099-C40C66FF867C}">
                  <a14:compatExt spid="_x0000_s719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000" b="0" i="0" u="none" strike="noStrike" baseline="0">
                  <a:solidFill>
                    <a:srgbClr val="000000"/>
                  </a:solidFill>
                  <a:latin typeface="Century Gothic"/>
                </a:rPr>
                <a:t>DEPRECIACIÓN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998765</xdr:colOff>
          <xdr:row>0</xdr:row>
          <xdr:rowOff>141514</xdr:rowOff>
        </xdr:from>
        <xdr:to>
          <xdr:col>6</xdr:col>
          <xdr:colOff>1351190</xdr:colOff>
          <xdr:row>0</xdr:row>
          <xdr:rowOff>503464</xdr:rowOff>
        </xdr:to>
        <xdr:sp macro="" textlink="">
          <xdr:nvSpPr>
            <xdr:cNvPr id="7191" name="Button 23" hidden="1">
              <a:extLst>
                <a:ext uri="{63B3BB69-23CF-44E3-9099-C40C66FF867C}">
                  <a14:compatExt spid="_x0000_s719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s-MX" sz="900" b="0" i="0" u="none" strike="noStrike" baseline="0">
                  <a:solidFill>
                    <a:srgbClr val="000000"/>
                  </a:solidFill>
                  <a:latin typeface="Century Gothic"/>
                </a:rPr>
                <a:t>GASTOS ADMINISTRATIVOS Y DE VENTA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266700</xdr:colOff>
          <xdr:row>0</xdr:row>
          <xdr:rowOff>114300</xdr:rowOff>
        </xdr:from>
        <xdr:to>
          <xdr:col>9</xdr:col>
          <xdr:colOff>1152525</xdr:colOff>
          <xdr:row>0</xdr:row>
          <xdr:rowOff>476250</xdr:rowOff>
        </xdr:to>
        <xdr:sp macro="" textlink="">
          <xdr:nvSpPr>
            <xdr:cNvPr id="7193" name="Button 25" hidden="1">
              <a:extLst>
                <a:ext uri="{63B3BB69-23CF-44E3-9099-C40C66FF867C}">
                  <a14:compatExt spid="_x0000_s719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s-MX" sz="900" b="0" i="0" u="none" strike="noStrike" baseline="0">
                  <a:solidFill>
                    <a:srgbClr val="000000"/>
                  </a:solidFill>
                  <a:latin typeface="Century Gothic"/>
                </a:rPr>
                <a:t>MÉTODOS PARA LA EVALUACIÓN DE PROYECTOS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95250</xdr:colOff>
          <xdr:row>0</xdr:row>
          <xdr:rowOff>114300</xdr:rowOff>
        </xdr:from>
        <xdr:to>
          <xdr:col>1</xdr:col>
          <xdr:colOff>552450</xdr:colOff>
          <xdr:row>0</xdr:row>
          <xdr:rowOff>476250</xdr:rowOff>
        </xdr:to>
        <xdr:sp macro="" textlink="">
          <xdr:nvSpPr>
            <xdr:cNvPr id="7194" name="Button 26" hidden="1">
              <a:extLst>
                <a:ext uri="{63B3BB69-23CF-44E3-9099-C40C66FF867C}">
                  <a14:compatExt spid="_x0000_s719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000" b="0" i="0" u="none" strike="noStrike" baseline="0">
                  <a:solidFill>
                    <a:srgbClr val="000000"/>
                  </a:solidFill>
                  <a:latin typeface="Century Gothic"/>
                </a:rPr>
                <a:t>PORTADA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142875</xdr:colOff>
          <xdr:row>0</xdr:row>
          <xdr:rowOff>114300</xdr:rowOff>
        </xdr:from>
        <xdr:to>
          <xdr:col>10</xdr:col>
          <xdr:colOff>1009650</xdr:colOff>
          <xdr:row>0</xdr:row>
          <xdr:rowOff>485775</xdr:rowOff>
        </xdr:to>
        <xdr:sp macro="" textlink="">
          <xdr:nvSpPr>
            <xdr:cNvPr id="7195" name="Button 27" hidden="1">
              <a:extLst>
                <a:ext uri="{63B3BB69-23CF-44E3-9099-C40C66FF867C}">
                  <a14:compatExt spid="_x0000_s719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s-MX" sz="900" b="0" i="0" u="none" strike="noStrike" baseline="0">
                  <a:solidFill>
                    <a:srgbClr val="000000"/>
                  </a:solidFill>
                  <a:latin typeface="Century Gothic"/>
                </a:rPr>
                <a:t>INFORME</a:t>
              </a:r>
            </a:p>
          </xdr:txBody>
        </xdr:sp>
        <xdr:clientData fPrintsWithSheet="0"/>
      </xdr:twoCellAnchor>
    </mc:Choice>
    <mc:Fallback/>
  </mc:AlternateContent>
  <xdr:twoCellAnchor>
    <xdr:from>
      <xdr:col>10</xdr:col>
      <xdr:colOff>1243853</xdr:colOff>
      <xdr:row>0</xdr:row>
      <xdr:rowOff>100853</xdr:rowOff>
    </xdr:from>
    <xdr:to>
      <xdr:col>12</xdr:col>
      <xdr:colOff>64789</xdr:colOff>
      <xdr:row>0</xdr:row>
      <xdr:rowOff>473095</xdr:rowOff>
    </xdr:to>
    <xdr:sp macro="" textlink="">
      <xdr:nvSpPr>
        <xdr:cNvPr id="17" name="Rectángulo 16">
          <a:hlinkClick xmlns:r="http://schemas.openxmlformats.org/officeDocument/2006/relationships" r:id="rId1"/>
        </xdr:cNvPr>
        <xdr:cNvSpPr/>
      </xdr:nvSpPr>
      <xdr:spPr>
        <a:xfrm>
          <a:off x="15060706" y="100853"/>
          <a:ext cx="1532759" cy="372242"/>
        </a:xfrm>
        <a:prstGeom prst="rect">
          <a:avLst/>
        </a:prstGeom>
        <a:solidFill>
          <a:schemeClr val="bg1">
            <a:lumMod val="95000"/>
          </a:schemeClr>
        </a:solidFill>
        <a:effectLst>
          <a:outerShdw blurRad="50800" dist="38100" dir="2700000" algn="tl" rotWithShape="0">
            <a:prstClr val="black">
              <a:alpha val="40000"/>
            </a:prstClr>
          </a:outerShdw>
        </a:effectLst>
      </xdr:spPr>
      <xdr:style>
        <a:lnRef idx="1">
          <a:schemeClr val="accent3"/>
        </a:lnRef>
        <a:fillRef idx="2">
          <a:schemeClr val="accent3"/>
        </a:fillRef>
        <a:effectRef idx="1">
          <a:schemeClr val="accent3"/>
        </a:effectRef>
        <a:fontRef idx="minor">
          <a:schemeClr val="dk1"/>
        </a:fontRef>
      </xdr:style>
      <xdr:txBody>
        <a:bodyPr vertOverflow="clip" horzOverflow="clip" rtlCol="0" anchor="ctr"/>
        <a:lstStyle/>
        <a:p>
          <a:pPr algn="ctr"/>
          <a:r>
            <a:rPr lang="es-MX" sz="900"/>
            <a:t>BALANCE </a:t>
          </a:r>
          <a:r>
            <a:rPr lang="es-MX" sz="900">
              <a:latin typeface="Century Gothic" panose="020B0502020202020204" pitchFamily="34" charset="0"/>
            </a:rPr>
            <a:t>GENERAL</a:t>
          </a:r>
        </a:p>
        <a:p>
          <a:pPr algn="l"/>
          <a:endParaRPr lang="es-MX" sz="900"/>
        </a:p>
      </xdr:txBody>
    </xdr:sp>
    <xdr:clientData/>
  </xdr:twoCellAnchor>
  <xdr:twoCellAnchor>
    <xdr:from>
      <xdr:col>1</xdr:col>
      <xdr:colOff>693965</xdr:colOff>
      <xdr:row>0</xdr:row>
      <xdr:rowOff>68035</xdr:rowOff>
    </xdr:from>
    <xdr:to>
      <xdr:col>1</xdr:col>
      <xdr:colOff>1427391</xdr:colOff>
      <xdr:row>0</xdr:row>
      <xdr:rowOff>525235</xdr:rowOff>
    </xdr:to>
    <xdr:sp macro="" textlink="">
      <xdr:nvSpPr>
        <xdr:cNvPr id="18" name="Rectángulo 17">
          <a:hlinkClick xmlns:r="http://schemas.openxmlformats.org/officeDocument/2006/relationships" r:id="rId2"/>
        </xdr:cNvPr>
        <xdr:cNvSpPr/>
      </xdr:nvSpPr>
      <xdr:spPr>
        <a:xfrm>
          <a:off x="1170215" y="68035"/>
          <a:ext cx="733426" cy="457200"/>
        </a:xfrm>
        <a:prstGeom prst="rect">
          <a:avLst/>
        </a:prstGeom>
        <a:solidFill>
          <a:schemeClr val="bg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100">
              <a:solidFill>
                <a:schemeClr val="tx1"/>
              </a:solidFill>
            </a:rPr>
            <a:t>MARCO TEORICO</a:t>
          </a:r>
          <a:r>
            <a:rPr lang="es-MX" sz="1100" b="0" i="0" u="none" strike="noStrike">
              <a:solidFill>
                <a:schemeClr val="lt1"/>
              </a:solidFill>
              <a:effectLst/>
              <a:latin typeface="+mn-lt"/>
              <a:ea typeface="+mn-ea"/>
              <a:cs typeface="+mn-cs"/>
            </a:rPr>
            <a:t>  </a:t>
          </a:r>
          <a:endParaRPr lang="es-MX" sz="1100">
            <a:solidFill>
              <a:schemeClr val="tx1"/>
            </a:solidFill>
          </a:endParaRPr>
        </a:p>
      </xdr:txBody>
    </xdr:sp>
    <xdr:clientData/>
  </xdr:twoCellAnchor>
  <xdr:twoCellAnchor>
    <xdr:from>
      <xdr:col>1</xdr:col>
      <xdr:colOff>1524000</xdr:colOff>
      <xdr:row>0</xdr:row>
      <xdr:rowOff>81642</xdr:rowOff>
    </xdr:from>
    <xdr:to>
      <xdr:col>1</xdr:col>
      <xdr:colOff>2368899</xdr:colOff>
      <xdr:row>0</xdr:row>
      <xdr:rowOff>511314</xdr:rowOff>
    </xdr:to>
    <xdr:sp macro="" textlink="">
      <xdr:nvSpPr>
        <xdr:cNvPr id="19" name="Rectángulo 18">
          <a:hlinkClick xmlns:r="http://schemas.openxmlformats.org/officeDocument/2006/relationships" r:id="rId3"/>
        </xdr:cNvPr>
        <xdr:cNvSpPr/>
      </xdr:nvSpPr>
      <xdr:spPr>
        <a:xfrm>
          <a:off x="2000250" y="81642"/>
          <a:ext cx="844899" cy="429672"/>
        </a:xfrm>
        <a:prstGeom prst="rect">
          <a:avLst/>
        </a:prstGeom>
        <a:solidFill>
          <a:schemeClr val="bg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100">
              <a:solidFill>
                <a:schemeClr val="tx1"/>
              </a:solidFill>
            </a:rPr>
            <a:t>OBJETIVO</a:t>
          </a:r>
        </a:p>
      </xdr:txBody>
    </xdr:sp>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533400</xdr:colOff>
          <xdr:row>9</xdr:row>
          <xdr:rowOff>76200</xdr:rowOff>
        </xdr:from>
        <xdr:to>
          <xdr:col>4</xdr:col>
          <xdr:colOff>895350</xdr:colOff>
          <xdr:row>12</xdr:row>
          <xdr:rowOff>19050</xdr:rowOff>
        </xdr:to>
        <xdr:sp macro="" textlink="">
          <xdr:nvSpPr>
            <xdr:cNvPr id="9225" name="Button 9" hidden="1">
              <a:extLst>
                <a:ext uri="{63B3BB69-23CF-44E3-9099-C40C66FF867C}">
                  <a14:compatExt spid="_x0000_s922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MX" sz="1400" b="0" i="0" u="none" strike="noStrike" baseline="0">
                  <a:solidFill>
                    <a:srgbClr val="000000"/>
                  </a:solidFill>
                  <a:latin typeface="Century Gothic"/>
                </a:rPr>
                <a:t>Periodo de Recuperación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504825</xdr:colOff>
          <xdr:row>15</xdr:row>
          <xdr:rowOff>114300</xdr:rowOff>
        </xdr:from>
        <xdr:to>
          <xdr:col>4</xdr:col>
          <xdr:colOff>866775</xdr:colOff>
          <xdr:row>18</xdr:row>
          <xdr:rowOff>57150</xdr:rowOff>
        </xdr:to>
        <xdr:sp macro="" textlink="">
          <xdr:nvSpPr>
            <xdr:cNvPr id="9226" name="Button 10" hidden="1">
              <a:extLst>
                <a:ext uri="{63B3BB69-23CF-44E3-9099-C40C66FF867C}">
                  <a14:compatExt spid="_x0000_s9226"/>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MX" sz="1400" b="0" i="0" u="none" strike="noStrike" baseline="0">
                  <a:solidFill>
                    <a:srgbClr val="000000"/>
                  </a:solidFill>
                  <a:latin typeface="Century Gothic"/>
                </a:rPr>
                <a:t>Índice de Rentabildad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866775</xdr:colOff>
          <xdr:row>9</xdr:row>
          <xdr:rowOff>76200</xdr:rowOff>
        </xdr:from>
        <xdr:to>
          <xdr:col>8</xdr:col>
          <xdr:colOff>238125</xdr:colOff>
          <xdr:row>12</xdr:row>
          <xdr:rowOff>19050</xdr:rowOff>
        </xdr:to>
        <xdr:sp macro="" textlink="">
          <xdr:nvSpPr>
            <xdr:cNvPr id="9227" name="Button 11" hidden="1">
              <a:extLst>
                <a:ext uri="{63B3BB69-23CF-44E3-9099-C40C66FF867C}">
                  <a14:compatExt spid="_x0000_s922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MX" sz="1400" b="0" i="0" u="none" strike="noStrike" baseline="0">
                  <a:solidFill>
                    <a:srgbClr val="000000"/>
                  </a:solidFill>
                  <a:latin typeface="Century Gothic"/>
                </a:rPr>
                <a:t>Suma de los Flujos Netos Descontados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838200</xdr:colOff>
          <xdr:row>15</xdr:row>
          <xdr:rowOff>114300</xdr:rowOff>
        </xdr:from>
        <xdr:to>
          <xdr:col>8</xdr:col>
          <xdr:colOff>209550</xdr:colOff>
          <xdr:row>18</xdr:row>
          <xdr:rowOff>57150</xdr:rowOff>
        </xdr:to>
        <xdr:sp macro="" textlink="">
          <xdr:nvSpPr>
            <xdr:cNvPr id="9228" name="Button 12" hidden="1">
              <a:extLst>
                <a:ext uri="{63B3BB69-23CF-44E3-9099-C40C66FF867C}">
                  <a14:compatExt spid="_x0000_s9228"/>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MX" sz="1400" b="0" i="0" u="none" strike="noStrike" baseline="0">
                  <a:solidFill>
                    <a:srgbClr val="000000"/>
                  </a:solidFill>
                  <a:latin typeface="Century Gothic"/>
                </a:rPr>
                <a:t>Valor Presente Neto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190500</xdr:colOff>
          <xdr:row>9</xdr:row>
          <xdr:rowOff>95250</xdr:rowOff>
        </xdr:from>
        <xdr:to>
          <xdr:col>11</xdr:col>
          <xdr:colOff>428625</xdr:colOff>
          <xdr:row>12</xdr:row>
          <xdr:rowOff>47625</xdr:rowOff>
        </xdr:to>
        <xdr:sp macro="" textlink="">
          <xdr:nvSpPr>
            <xdr:cNvPr id="9229" name="Button 13" hidden="1">
              <a:extLst>
                <a:ext uri="{63B3BB69-23CF-44E3-9099-C40C66FF867C}">
                  <a14:compatExt spid="_x0000_s922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MX" sz="1400" b="0" i="0" u="none" strike="noStrike" baseline="0">
                  <a:solidFill>
                    <a:srgbClr val="000000"/>
                  </a:solidFill>
                  <a:latin typeface="Century Gothic"/>
                </a:rPr>
                <a:t>Rendimiento Anual Promedio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161925</xdr:colOff>
          <xdr:row>15</xdr:row>
          <xdr:rowOff>133350</xdr:rowOff>
        </xdr:from>
        <xdr:to>
          <xdr:col>11</xdr:col>
          <xdr:colOff>400050</xdr:colOff>
          <xdr:row>18</xdr:row>
          <xdr:rowOff>76200</xdr:rowOff>
        </xdr:to>
        <xdr:sp macro="" textlink="">
          <xdr:nvSpPr>
            <xdr:cNvPr id="9230" name="Button 14" hidden="1">
              <a:extLst>
                <a:ext uri="{63B3BB69-23CF-44E3-9099-C40C66FF867C}">
                  <a14:compatExt spid="_x0000_s923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MX" sz="1400" b="0" i="0" u="none" strike="noStrike" baseline="0">
                  <a:solidFill>
                    <a:srgbClr val="000000"/>
                  </a:solidFill>
                  <a:latin typeface="Century Gothic"/>
                </a:rPr>
                <a:t>Tasa Interna de Retorno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285750</xdr:colOff>
          <xdr:row>38</xdr:row>
          <xdr:rowOff>57150</xdr:rowOff>
        </xdr:from>
        <xdr:to>
          <xdr:col>11</xdr:col>
          <xdr:colOff>962025</xdr:colOff>
          <xdr:row>40</xdr:row>
          <xdr:rowOff>114300</xdr:rowOff>
        </xdr:to>
        <xdr:sp macro="" textlink="">
          <xdr:nvSpPr>
            <xdr:cNvPr id="9239" name="Button 23" hidden="1">
              <a:extLst>
                <a:ext uri="{63B3BB69-23CF-44E3-9099-C40C66FF867C}">
                  <a14:compatExt spid="_x0000_s923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MX" sz="1400" b="0" i="0" u="none" strike="noStrike" baseline="0">
                  <a:solidFill>
                    <a:srgbClr val="000000"/>
                  </a:solidFill>
                  <a:latin typeface="Century Gothic"/>
                </a:rPr>
                <a:t>Regresar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285750</xdr:colOff>
          <xdr:row>38</xdr:row>
          <xdr:rowOff>57150</xdr:rowOff>
        </xdr:from>
        <xdr:to>
          <xdr:col>28</xdr:col>
          <xdr:colOff>962025</xdr:colOff>
          <xdr:row>40</xdr:row>
          <xdr:rowOff>114300</xdr:rowOff>
        </xdr:to>
        <xdr:sp macro="" textlink="">
          <xdr:nvSpPr>
            <xdr:cNvPr id="9240" name="Button 24" hidden="1">
              <a:extLst>
                <a:ext uri="{63B3BB69-23CF-44E3-9099-C40C66FF867C}">
                  <a14:compatExt spid="_x0000_s924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MX" sz="1400" b="0" i="0" u="none" strike="noStrike" baseline="0">
                  <a:solidFill>
                    <a:srgbClr val="000000"/>
                  </a:solidFill>
                  <a:latin typeface="Century Gothic"/>
                </a:rPr>
                <a:t>Regresar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285750</xdr:colOff>
          <xdr:row>60</xdr:row>
          <xdr:rowOff>57150</xdr:rowOff>
        </xdr:from>
        <xdr:to>
          <xdr:col>11</xdr:col>
          <xdr:colOff>962025</xdr:colOff>
          <xdr:row>62</xdr:row>
          <xdr:rowOff>114300</xdr:rowOff>
        </xdr:to>
        <xdr:sp macro="" textlink="">
          <xdr:nvSpPr>
            <xdr:cNvPr id="9241" name="Button 25" hidden="1">
              <a:extLst>
                <a:ext uri="{63B3BB69-23CF-44E3-9099-C40C66FF867C}">
                  <a14:compatExt spid="_x0000_s924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MX" sz="1400" b="0" i="0" u="none" strike="noStrike" baseline="0">
                  <a:solidFill>
                    <a:srgbClr val="000000"/>
                  </a:solidFill>
                  <a:latin typeface="Century Gothic"/>
                </a:rPr>
                <a:t>Regresar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285750</xdr:colOff>
          <xdr:row>60</xdr:row>
          <xdr:rowOff>57150</xdr:rowOff>
        </xdr:from>
        <xdr:to>
          <xdr:col>28</xdr:col>
          <xdr:colOff>962025</xdr:colOff>
          <xdr:row>62</xdr:row>
          <xdr:rowOff>114300</xdr:rowOff>
        </xdr:to>
        <xdr:sp macro="" textlink="">
          <xdr:nvSpPr>
            <xdr:cNvPr id="9242" name="Button 26" hidden="1">
              <a:extLst>
                <a:ext uri="{63B3BB69-23CF-44E3-9099-C40C66FF867C}">
                  <a14:compatExt spid="_x0000_s9242"/>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MX" sz="1400" b="0" i="0" u="none" strike="noStrike" baseline="0">
                  <a:solidFill>
                    <a:srgbClr val="000000"/>
                  </a:solidFill>
                  <a:latin typeface="Century Gothic"/>
                </a:rPr>
                <a:t>Regresar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285750</xdr:colOff>
          <xdr:row>84</xdr:row>
          <xdr:rowOff>57150</xdr:rowOff>
        </xdr:from>
        <xdr:to>
          <xdr:col>11</xdr:col>
          <xdr:colOff>962025</xdr:colOff>
          <xdr:row>86</xdr:row>
          <xdr:rowOff>114300</xdr:rowOff>
        </xdr:to>
        <xdr:sp macro="" textlink="">
          <xdr:nvSpPr>
            <xdr:cNvPr id="9246" name="Button 30" hidden="1">
              <a:extLst>
                <a:ext uri="{63B3BB69-23CF-44E3-9099-C40C66FF867C}">
                  <a14:compatExt spid="_x0000_s9246"/>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MX" sz="1400" b="0" i="0" u="none" strike="noStrike" baseline="0">
                  <a:solidFill>
                    <a:srgbClr val="000000"/>
                  </a:solidFill>
                  <a:latin typeface="Century Gothic"/>
                </a:rPr>
                <a:t>Regresar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285750</xdr:colOff>
          <xdr:row>84</xdr:row>
          <xdr:rowOff>57150</xdr:rowOff>
        </xdr:from>
        <xdr:to>
          <xdr:col>28</xdr:col>
          <xdr:colOff>962025</xdr:colOff>
          <xdr:row>86</xdr:row>
          <xdr:rowOff>114300</xdr:rowOff>
        </xdr:to>
        <xdr:sp macro="" textlink="">
          <xdr:nvSpPr>
            <xdr:cNvPr id="9248" name="Button 32" hidden="1">
              <a:extLst>
                <a:ext uri="{63B3BB69-23CF-44E3-9099-C40C66FF867C}">
                  <a14:compatExt spid="_x0000_s9248"/>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MX" sz="1400" b="0" i="0" u="none" strike="noStrike" baseline="0">
                  <a:solidFill>
                    <a:srgbClr val="000000"/>
                  </a:solidFill>
                  <a:latin typeface="Century Gothic"/>
                </a:rPr>
                <a:t>Regresar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889000</xdr:colOff>
          <xdr:row>0</xdr:row>
          <xdr:rowOff>88900</xdr:rowOff>
        </xdr:from>
        <xdr:to>
          <xdr:col>3</xdr:col>
          <xdr:colOff>622300</xdr:colOff>
          <xdr:row>0</xdr:row>
          <xdr:rowOff>546100</xdr:rowOff>
        </xdr:to>
        <xdr:sp macro="" textlink="">
          <xdr:nvSpPr>
            <xdr:cNvPr id="9249" name="Button 33" hidden="1">
              <a:extLst>
                <a:ext uri="{63B3BB69-23CF-44E3-9099-C40C66FF867C}">
                  <a14:compatExt spid="_x0000_s92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000" b="0" i="0" u="none" strike="noStrike" baseline="0">
                  <a:solidFill>
                    <a:srgbClr val="000000"/>
                  </a:solidFill>
                  <a:latin typeface="Century Gothic"/>
                </a:rPr>
                <a:t>INGRESO DE DATOS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666750</xdr:colOff>
          <xdr:row>0</xdr:row>
          <xdr:rowOff>101600</xdr:rowOff>
        </xdr:from>
        <xdr:to>
          <xdr:col>9</xdr:col>
          <xdr:colOff>390525</xdr:colOff>
          <xdr:row>0</xdr:row>
          <xdr:rowOff>463550</xdr:rowOff>
        </xdr:to>
        <xdr:sp macro="" textlink="">
          <xdr:nvSpPr>
            <xdr:cNvPr id="9250" name="Button 34" hidden="1">
              <a:extLst>
                <a:ext uri="{63B3BB69-23CF-44E3-9099-C40C66FF867C}">
                  <a14:compatExt spid="_x0000_s92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000" b="0" i="0" u="none" strike="noStrike" baseline="0">
                  <a:solidFill>
                    <a:srgbClr val="000000"/>
                  </a:solidFill>
                  <a:latin typeface="Century Gothic"/>
                </a:rPr>
                <a:t>SIMULADOR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923925</xdr:colOff>
          <xdr:row>0</xdr:row>
          <xdr:rowOff>127000</xdr:rowOff>
        </xdr:from>
        <xdr:to>
          <xdr:col>5</xdr:col>
          <xdr:colOff>136525</xdr:colOff>
          <xdr:row>0</xdr:row>
          <xdr:rowOff>488950</xdr:rowOff>
        </xdr:to>
        <xdr:sp macro="" textlink="">
          <xdr:nvSpPr>
            <xdr:cNvPr id="9251" name="Button 35" hidden="1">
              <a:extLst>
                <a:ext uri="{63B3BB69-23CF-44E3-9099-C40C66FF867C}">
                  <a14:compatExt spid="_x0000_s925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000" b="0" i="0" u="none" strike="noStrike" baseline="0">
                  <a:solidFill>
                    <a:srgbClr val="000000"/>
                  </a:solidFill>
                  <a:latin typeface="Century Gothic"/>
                </a:rPr>
                <a:t>COSTO DE PRODUCCIÓN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434975</xdr:colOff>
          <xdr:row>0</xdr:row>
          <xdr:rowOff>127000</xdr:rowOff>
        </xdr:from>
        <xdr:to>
          <xdr:col>6</xdr:col>
          <xdr:colOff>558800</xdr:colOff>
          <xdr:row>0</xdr:row>
          <xdr:rowOff>482600</xdr:rowOff>
        </xdr:to>
        <xdr:sp macro="" textlink="">
          <xdr:nvSpPr>
            <xdr:cNvPr id="9252" name="Button 36" hidden="1">
              <a:extLst>
                <a:ext uri="{63B3BB69-23CF-44E3-9099-C40C66FF867C}">
                  <a14:compatExt spid="_x0000_s925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000" b="0" i="0" u="none" strike="noStrike" baseline="0">
                  <a:solidFill>
                    <a:srgbClr val="000000"/>
                  </a:solidFill>
                  <a:latin typeface="Century Gothic"/>
                </a:rPr>
                <a:t>DEPRECIACIÓN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1028700</xdr:colOff>
          <xdr:row>0</xdr:row>
          <xdr:rowOff>114300</xdr:rowOff>
        </xdr:from>
        <xdr:to>
          <xdr:col>8</xdr:col>
          <xdr:colOff>342900</xdr:colOff>
          <xdr:row>0</xdr:row>
          <xdr:rowOff>476250</xdr:rowOff>
        </xdr:to>
        <xdr:sp macro="" textlink="">
          <xdr:nvSpPr>
            <xdr:cNvPr id="9253" name="Button 37" hidden="1">
              <a:extLst>
                <a:ext uri="{63B3BB69-23CF-44E3-9099-C40C66FF867C}">
                  <a14:compatExt spid="_x0000_s925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s-MX" sz="900" b="0" i="0" u="none" strike="noStrike" baseline="0">
                  <a:solidFill>
                    <a:srgbClr val="000000"/>
                  </a:solidFill>
                  <a:latin typeface="Century Gothic"/>
                </a:rPr>
                <a:t>GASTOS ADMINISTRATIVOS Y DE VENTA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635000</xdr:colOff>
          <xdr:row>0</xdr:row>
          <xdr:rowOff>88900</xdr:rowOff>
        </xdr:from>
        <xdr:to>
          <xdr:col>10</xdr:col>
          <xdr:colOff>206375</xdr:colOff>
          <xdr:row>0</xdr:row>
          <xdr:rowOff>450850</xdr:rowOff>
        </xdr:to>
        <xdr:sp macro="" textlink="">
          <xdr:nvSpPr>
            <xdr:cNvPr id="9254" name="Button 38" hidden="1">
              <a:extLst>
                <a:ext uri="{63B3BB69-23CF-44E3-9099-C40C66FF867C}">
                  <a14:compatExt spid="_x0000_s9254"/>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es-MX" sz="1100" b="0" i="0" u="none" strike="noStrike" baseline="0">
                  <a:solidFill>
                    <a:srgbClr val="000000"/>
                  </a:solidFill>
                  <a:latin typeface="Century Gothic"/>
                </a:rPr>
                <a:t>FNE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95250</xdr:colOff>
          <xdr:row>0</xdr:row>
          <xdr:rowOff>114300</xdr:rowOff>
        </xdr:from>
        <xdr:to>
          <xdr:col>1</xdr:col>
          <xdr:colOff>266700</xdr:colOff>
          <xdr:row>0</xdr:row>
          <xdr:rowOff>476250</xdr:rowOff>
        </xdr:to>
        <xdr:sp macro="" textlink="">
          <xdr:nvSpPr>
            <xdr:cNvPr id="9256" name="Button 40" hidden="1">
              <a:extLst>
                <a:ext uri="{63B3BB69-23CF-44E3-9099-C40C66FF867C}">
                  <a14:compatExt spid="_x0000_s925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000" b="0" i="0" u="none" strike="noStrike" baseline="0">
                  <a:solidFill>
                    <a:srgbClr val="000000"/>
                  </a:solidFill>
                  <a:latin typeface="Century Gothic"/>
                </a:rPr>
                <a:t>PORTADA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717550</xdr:colOff>
          <xdr:row>0</xdr:row>
          <xdr:rowOff>114300</xdr:rowOff>
        </xdr:from>
        <xdr:to>
          <xdr:col>11</xdr:col>
          <xdr:colOff>327025</xdr:colOff>
          <xdr:row>0</xdr:row>
          <xdr:rowOff>485775</xdr:rowOff>
        </xdr:to>
        <xdr:sp macro="" textlink="">
          <xdr:nvSpPr>
            <xdr:cNvPr id="9257" name="Button 41" hidden="1">
              <a:extLst>
                <a:ext uri="{63B3BB69-23CF-44E3-9099-C40C66FF867C}">
                  <a14:compatExt spid="_x0000_s925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s-MX" sz="900" b="0" i="0" u="none" strike="noStrike" baseline="0">
                  <a:solidFill>
                    <a:srgbClr val="000000"/>
                  </a:solidFill>
                  <a:latin typeface="Century Gothic"/>
                </a:rPr>
                <a:t>INFORME</a:t>
              </a:r>
            </a:p>
          </xdr:txBody>
        </xdr:sp>
        <xdr:clientData fPrintsWithSheet="0"/>
      </xdr:twoCellAnchor>
    </mc:Choice>
    <mc:Fallback/>
  </mc:AlternateContent>
  <xdr:twoCellAnchor>
    <xdr:from>
      <xdr:col>11</xdr:col>
      <xdr:colOff>654423</xdr:colOff>
      <xdr:row>0</xdr:row>
      <xdr:rowOff>86659</xdr:rowOff>
    </xdr:from>
    <xdr:to>
      <xdr:col>13</xdr:col>
      <xdr:colOff>28182</xdr:colOff>
      <xdr:row>0</xdr:row>
      <xdr:rowOff>458901</xdr:rowOff>
    </xdr:to>
    <xdr:sp macro="" textlink="">
      <xdr:nvSpPr>
        <xdr:cNvPr id="23" name="Rectángulo 22">
          <a:hlinkClick xmlns:r="http://schemas.openxmlformats.org/officeDocument/2006/relationships" r:id="rId1"/>
        </xdr:cNvPr>
        <xdr:cNvSpPr/>
      </xdr:nvSpPr>
      <xdr:spPr>
        <a:xfrm>
          <a:off x="14738723" y="86659"/>
          <a:ext cx="1532759" cy="372242"/>
        </a:xfrm>
        <a:prstGeom prst="rect">
          <a:avLst/>
        </a:prstGeom>
        <a:solidFill>
          <a:schemeClr val="bg1">
            <a:lumMod val="95000"/>
          </a:schemeClr>
        </a:solidFill>
        <a:effectLst>
          <a:outerShdw blurRad="50800" dist="38100" dir="2700000" algn="tl" rotWithShape="0">
            <a:prstClr val="black">
              <a:alpha val="40000"/>
            </a:prstClr>
          </a:outerShdw>
        </a:effectLst>
      </xdr:spPr>
      <xdr:style>
        <a:lnRef idx="1">
          <a:schemeClr val="accent3"/>
        </a:lnRef>
        <a:fillRef idx="2">
          <a:schemeClr val="accent3"/>
        </a:fillRef>
        <a:effectRef idx="1">
          <a:schemeClr val="accent3"/>
        </a:effectRef>
        <a:fontRef idx="minor">
          <a:schemeClr val="dk1"/>
        </a:fontRef>
      </xdr:style>
      <xdr:txBody>
        <a:bodyPr vertOverflow="clip" horzOverflow="clip" rtlCol="0" anchor="ctr"/>
        <a:lstStyle/>
        <a:p>
          <a:pPr algn="ctr"/>
          <a:r>
            <a:rPr lang="es-MX" sz="900"/>
            <a:t>BALANCE </a:t>
          </a:r>
          <a:r>
            <a:rPr lang="es-MX" sz="900">
              <a:latin typeface="Century Gothic" panose="020B0502020202020204" pitchFamily="34" charset="0"/>
            </a:rPr>
            <a:t>GENERAL</a:t>
          </a:r>
        </a:p>
        <a:p>
          <a:pPr algn="l"/>
          <a:endParaRPr lang="es-MX" sz="900"/>
        </a:p>
      </xdr:txBody>
    </xdr:sp>
    <xdr:clientData/>
  </xdr:twoCellAnchor>
  <xdr:twoCellAnchor>
    <xdr:from>
      <xdr:col>1</xdr:col>
      <xdr:colOff>1193800</xdr:colOff>
      <xdr:row>0</xdr:row>
      <xdr:rowOff>76200</xdr:rowOff>
    </xdr:from>
    <xdr:to>
      <xdr:col>2</xdr:col>
      <xdr:colOff>705199</xdr:colOff>
      <xdr:row>0</xdr:row>
      <xdr:rowOff>505872</xdr:rowOff>
    </xdr:to>
    <xdr:sp macro="" textlink="">
      <xdr:nvSpPr>
        <xdr:cNvPr id="24" name="Rectángulo 23">
          <a:hlinkClick xmlns:r="http://schemas.openxmlformats.org/officeDocument/2006/relationships" r:id="rId2"/>
        </xdr:cNvPr>
        <xdr:cNvSpPr/>
      </xdr:nvSpPr>
      <xdr:spPr>
        <a:xfrm>
          <a:off x="1955800" y="76200"/>
          <a:ext cx="844899" cy="429672"/>
        </a:xfrm>
        <a:prstGeom prst="rect">
          <a:avLst/>
        </a:prstGeom>
        <a:solidFill>
          <a:schemeClr val="bg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100">
              <a:solidFill>
                <a:schemeClr val="tx1"/>
              </a:solidFill>
            </a:rPr>
            <a:t>OBJETIVO</a:t>
          </a:r>
        </a:p>
      </xdr:txBody>
    </xdr:sp>
    <xdr:clientData/>
  </xdr:twoCellAnchor>
  <xdr:twoCellAnchor>
    <xdr:from>
      <xdr:col>1</xdr:col>
      <xdr:colOff>368300</xdr:colOff>
      <xdr:row>0</xdr:row>
      <xdr:rowOff>88900</xdr:rowOff>
    </xdr:from>
    <xdr:to>
      <xdr:col>1</xdr:col>
      <xdr:colOff>1101726</xdr:colOff>
      <xdr:row>0</xdr:row>
      <xdr:rowOff>546100</xdr:rowOff>
    </xdr:to>
    <xdr:sp macro="" textlink="">
      <xdr:nvSpPr>
        <xdr:cNvPr id="25" name="Rectángulo 24">
          <a:hlinkClick xmlns:r="http://schemas.openxmlformats.org/officeDocument/2006/relationships" r:id="rId3"/>
        </xdr:cNvPr>
        <xdr:cNvSpPr/>
      </xdr:nvSpPr>
      <xdr:spPr>
        <a:xfrm>
          <a:off x="1130300" y="88900"/>
          <a:ext cx="733426" cy="457200"/>
        </a:xfrm>
        <a:prstGeom prst="rect">
          <a:avLst/>
        </a:prstGeom>
        <a:solidFill>
          <a:schemeClr val="bg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100">
              <a:solidFill>
                <a:schemeClr val="tx1"/>
              </a:solidFill>
            </a:rPr>
            <a:t>MARCO TEORICO</a:t>
          </a:r>
          <a:r>
            <a:rPr lang="es-MX" sz="1100" b="0" i="0" u="none" strike="noStrike">
              <a:solidFill>
                <a:schemeClr val="lt1"/>
              </a:solidFill>
              <a:effectLst/>
              <a:latin typeface="+mn-lt"/>
              <a:ea typeface="+mn-ea"/>
              <a:cs typeface="+mn-cs"/>
            </a:rPr>
            <a:t>  </a:t>
          </a:r>
          <a:endParaRPr lang="es-MX" sz="1100">
            <a:solidFill>
              <a:schemeClr val="tx1"/>
            </a:solidFill>
          </a:endParaRPr>
        </a:p>
      </xdr:txBody>
    </xdr:sp>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1688702</xdr:colOff>
          <xdr:row>0</xdr:row>
          <xdr:rowOff>104377</xdr:rowOff>
        </xdr:from>
        <xdr:to>
          <xdr:col>5</xdr:col>
          <xdr:colOff>674688</xdr:colOff>
          <xdr:row>0</xdr:row>
          <xdr:rowOff>506016</xdr:rowOff>
        </xdr:to>
        <xdr:sp macro="" textlink="">
          <xdr:nvSpPr>
            <xdr:cNvPr id="11265" name="Button 1" hidden="1">
              <a:extLst>
                <a:ext uri="{63B3BB69-23CF-44E3-9099-C40C66FF867C}">
                  <a14:compatExt spid="_x0000_s1126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000" b="0" i="0" u="none" strike="noStrike" baseline="0">
                  <a:solidFill>
                    <a:srgbClr val="000000"/>
                  </a:solidFill>
                  <a:latin typeface="Century Gothic"/>
                </a:rPr>
                <a:t>INGRESO DE DATOS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188516</xdr:colOff>
          <xdr:row>0</xdr:row>
          <xdr:rowOff>54768</xdr:rowOff>
        </xdr:from>
        <xdr:to>
          <xdr:col>12</xdr:col>
          <xdr:colOff>413146</xdr:colOff>
          <xdr:row>0</xdr:row>
          <xdr:rowOff>436562</xdr:rowOff>
        </xdr:to>
        <xdr:sp macro="" textlink="">
          <xdr:nvSpPr>
            <xdr:cNvPr id="11266" name="Button 2" hidden="1">
              <a:extLst>
                <a:ext uri="{63B3BB69-23CF-44E3-9099-C40C66FF867C}">
                  <a14:compatExt spid="_x0000_s1126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000" b="0" i="0" u="none" strike="noStrike" baseline="0">
                  <a:solidFill>
                    <a:srgbClr val="000000"/>
                  </a:solidFill>
                  <a:latin typeface="Century Gothic"/>
                </a:rPr>
                <a:t>SIMULADOR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67469</xdr:colOff>
          <xdr:row>0</xdr:row>
          <xdr:rowOff>104378</xdr:rowOff>
        </xdr:from>
        <xdr:to>
          <xdr:col>7</xdr:col>
          <xdr:colOff>783828</xdr:colOff>
          <xdr:row>0</xdr:row>
          <xdr:rowOff>496094</xdr:rowOff>
        </xdr:to>
        <xdr:sp macro="" textlink="">
          <xdr:nvSpPr>
            <xdr:cNvPr id="11267" name="Button 3" hidden="1">
              <a:extLst>
                <a:ext uri="{63B3BB69-23CF-44E3-9099-C40C66FF867C}">
                  <a14:compatExt spid="_x0000_s1126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000" b="0" i="0" u="none" strike="noStrike" baseline="0">
                  <a:solidFill>
                    <a:srgbClr val="000000"/>
                  </a:solidFill>
                  <a:latin typeface="Century Gothic"/>
                </a:rPr>
                <a:t>COSTO DE PRODUCCIÓN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1031478</xdr:colOff>
          <xdr:row>0</xdr:row>
          <xdr:rowOff>94456</xdr:rowOff>
        </xdr:from>
        <xdr:to>
          <xdr:col>8</xdr:col>
          <xdr:colOff>446485</xdr:colOff>
          <xdr:row>0</xdr:row>
          <xdr:rowOff>476249</xdr:rowOff>
        </xdr:to>
        <xdr:sp macro="" textlink="">
          <xdr:nvSpPr>
            <xdr:cNvPr id="11268" name="Button 4" hidden="1">
              <a:extLst>
                <a:ext uri="{63B3BB69-23CF-44E3-9099-C40C66FF867C}">
                  <a14:compatExt spid="_x0000_s1126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000" b="0" i="0" u="none" strike="noStrike" baseline="0">
                  <a:solidFill>
                    <a:srgbClr val="000000"/>
                  </a:solidFill>
                  <a:latin typeface="Century Gothic"/>
                </a:rPr>
                <a:t>DEPRECIACIÓN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653256</xdr:colOff>
          <xdr:row>0</xdr:row>
          <xdr:rowOff>84534</xdr:rowOff>
        </xdr:from>
        <xdr:to>
          <xdr:col>11</xdr:col>
          <xdr:colOff>3572</xdr:colOff>
          <xdr:row>0</xdr:row>
          <xdr:rowOff>446484</xdr:rowOff>
        </xdr:to>
        <xdr:sp macro="" textlink="">
          <xdr:nvSpPr>
            <xdr:cNvPr id="11269" name="Button 5" hidden="1">
              <a:extLst>
                <a:ext uri="{63B3BB69-23CF-44E3-9099-C40C66FF867C}">
                  <a14:compatExt spid="_x0000_s1126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s-MX" sz="900" b="0" i="0" u="none" strike="noStrike" baseline="0">
                  <a:solidFill>
                    <a:srgbClr val="000000"/>
                  </a:solidFill>
                  <a:latin typeface="Century Gothic"/>
                </a:rPr>
                <a:t>GASTOS ADMINISTRATIVOS Y DE VENTA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624284</xdr:colOff>
          <xdr:row>0</xdr:row>
          <xdr:rowOff>84534</xdr:rowOff>
        </xdr:from>
        <xdr:to>
          <xdr:col>12</xdr:col>
          <xdr:colOff>1367234</xdr:colOff>
          <xdr:row>0</xdr:row>
          <xdr:rowOff>446484</xdr:rowOff>
        </xdr:to>
        <xdr:sp macro="" textlink="">
          <xdr:nvSpPr>
            <xdr:cNvPr id="11270" name="Button 6" hidden="1">
              <a:extLst>
                <a:ext uri="{63B3BB69-23CF-44E3-9099-C40C66FF867C}">
                  <a14:compatExt spid="_x0000_s1127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es-MX" sz="1100" b="0" i="0" u="none" strike="noStrike" baseline="0">
                  <a:solidFill>
                    <a:srgbClr val="000000"/>
                  </a:solidFill>
                  <a:latin typeface="Century Gothic"/>
                </a:rPr>
                <a:t>FNE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1654969</xdr:colOff>
          <xdr:row>0</xdr:row>
          <xdr:rowOff>84535</xdr:rowOff>
        </xdr:from>
        <xdr:to>
          <xdr:col>14</xdr:col>
          <xdr:colOff>585390</xdr:colOff>
          <xdr:row>0</xdr:row>
          <xdr:rowOff>446485</xdr:rowOff>
        </xdr:to>
        <xdr:sp macro="" textlink="">
          <xdr:nvSpPr>
            <xdr:cNvPr id="11271" name="Button 7" hidden="1">
              <a:extLst>
                <a:ext uri="{63B3BB69-23CF-44E3-9099-C40C66FF867C}">
                  <a14:compatExt spid="_x0000_s1127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s-MX" sz="900" b="0" i="0" u="none" strike="noStrike" baseline="0">
                  <a:solidFill>
                    <a:srgbClr val="000000"/>
                  </a:solidFill>
                  <a:latin typeface="Century Gothic"/>
                </a:rPr>
                <a:t>MÉTODOS PARA LA EVALUACIÓN DE PROYECTOS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95250</xdr:colOff>
          <xdr:row>0</xdr:row>
          <xdr:rowOff>114300</xdr:rowOff>
        </xdr:from>
        <xdr:to>
          <xdr:col>2</xdr:col>
          <xdr:colOff>238125</xdr:colOff>
          <xdr:row>0</xdr:row>
          <xdr:rowOff>496094</xdr:rowOff>
        </xdr:to>
        <xdr:sp macro="" textlink="">
          <xdr:nvSpPr>
            <xdr:cNvPr id="11272" name="Button 8" hidden="1">
              <a:extLst>
                <a:ext uri="{63B3BB69-23CF-44E3-9099-C40C66FF867C}">
                  <a14:compatExt spid="_x0000_s1127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000" b="0" i="0" u="none" strike="noStrike" baseline="0">
                  <a:solidFill>
                    <a:srgbClr val="000000"/>
                  </a:solidFill>
                  <a:latin typeface="Century Gothic"/>
                </a:rPr>
                <a:t>PORTADA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79772</xdr:colOff>
          <xdr:row>0</xdr:row>
          <xdr:rowOff>94457</xdr:rowOff>
        </xdr:from>
        <xdr:to>
          <xdr:col>16</xdr:col>
          <xdr:colOff>184548</xdr:colOff>
          <xdr:row>0</xdr:row>
          <xdr:rowOff>465932</xdr:rowOff>
        </xdr:to>
        <xdr:sp macro="" textlink="">
          <xdr:nvSpPr>
            <xdr:cNvPr id="11273" name="Button 9" hidden="1">
              <a:extLst>
                <a:ext uri="{63B3BB69-23CF-44E3-9099-C40C66FF867C}">
                  <a14:compatExt spid="_x0000_s1127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s-MX" sz="900" b="0" i="0" u="none" strike="noStrike" baseline="0">
                  <a:solidFill>
                    <a:srgbClr val="000000"/>
                  </a:solidFill>
                  <a:latin typeface="Century Gothic"/>
                </a:rPr>
                <a:t>INFORME</a:t>
              </a:r>
            </a:p>
          </xdr:txBody>
        </xdr:sp>
        <xdr:clientData fPrintsWithSheet="0"/>
      </xdr:twoCellAnchor>
    </mc:Choice>
    <mc:Fallback/>
  </mc:AlternateContent>
  <xdr:twoCellAnchor>
    <xdr:from>
      <xdr:col>44</xdr:col>
      <xdr:colOff>307579</xdr:colOff>
      <xdr:row>17</xdr:row>
      <xdr:rowOff>39687</xdr:rowOff>
    </xdr:from>
    <xdr:to>
      <xdr:col>45</xdr:col>
      <xdr:colOff>367109</xdr:colOff>
      <xdr:row>19</xdr:row>
      <xdr:rowOff>9921</xdr:rowOff>
    </xdr:to>
    <xdr:sp macro="" textlink="">
      <xdr:nvSpPr>
        <xdr:cNvPr id="14" name="Rectángulo 13">
          <a:hlinkClick xmlns:r="http://schemas.openxmlformats.org/officeDocument/2006/relationships" r:id="rId1"/>
        </xdr:cNvPr>
        <xdr:cNvSpPr/>
      </xdr:nvSpPr>
      <xdr:spPr>
        <a:xfrm>
          <a:off x="42287032" y="3671093"/>
          <a:ext cx="823515" cy="347266"/>
        </a:xfrm>
        <a:prstGeom prst="rect">
          <a:avLst/>
        </a:prstGeom>
        <a:solidFill>
          <a:schemeClr val="bg1">
            <a:lumMod val="95000"/>
          </a:schemeClr>
        </a:solidFill>
        <a:effectLst>
          <a:outerShdw blurRad="50800" dist="38100" dir="2700000" algn="tl" rotWithShape="0">
            <a:prstClr val="black">
              <a:alpha val="40000"/>
            </a:prstClr>
          </a:outerShdw>
        </a:effectLst>
      </xdr:spPr>
      <xdr:style>
        <a:lnRef idx="1">
          <a:schemeClr val="accent3"/>
        </a:lnRef>
        <a:fillRef idx="2">
          <a:schemeClr val="accent3"/>
        </a:fillRef>
        <a:effectRef idx="1">
          <a:schemeClr val="accent3"/>
        </a:effectRef>
        <a:fontRef idx="minor">
          <a:schemeClr val="dk1"/>
        </a:fontRef>
      </xdr:style>
      <xdr:txBody>
        <a:bodyPr vertOverflow="clip" horzOverflow="clip" rtlCol="0" anchor="ctr"/>
        <a:lstStyle/>
        <a:p>
          <a:pPr algn="ctr"/>
          <a:r>
            <a:rPr lang="es-MX" sz="900"/>
            <a:t>INICIO</a:t>
          </a:r>
        </a:p>
      </xdr:txBody>
    </xdr:sp>
    <xdr:clientData/>
  </xdr:twoCellAnchor>
  <xdr:twoCellAnchor>
    <xdr:from>
      <xdr:col>2</xdr:col>
      <xdr:colOff>436563</xdr:colOff>
      <xdr:row>0</xdr:row>
      <xdr:rowOff>99219</xdr:rowOff>
    </xdr:from>
    <xdr:to>
      <xdr:col>3</xdr:col>
      <xdr:colOff>406004</xdr:colOff>
      <xdr:row>0</xdr:row>
      <xdr:rowOff>556419</xdr:rowOff>
    </xdr:to>
    <xdr:sp macro="" textlink="">
      <xdr:nvSpPr>
        <xdr:cNvPr id="15" name="Rectángulo 14">
          <a:hlinkClick xmlns:r="http://schemas.openxmlformats.org/officeDocument/2006/relationships" r:id="rId2"/>
        </xdr:cNvPr>
        <xdr:cNvSpPr/>
      </xdr:nvSpPr>
      <xdr:spPr>
        <a:xfrm>
          <a:off x="1359297" y="99219"/>
          <a:ext cx="733426" cy="457200"/>
        </a:xfrm>
        <a:prstGeom prst="rect">
          <a:avLst/>
        </a:prstGeom>
        <a:solidFill>
          <a:schemeClr val="bg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100">
              <a:solidFill>
                <a:schemeClr val="tx1"/>
              </a:solidFill>
            </a:rPr>
            <a:t>MARCO TEORICO</a:t>
          </a:r>
          <a:r>
            <a:rPr lang="es-MX" sz="1100" b="0" i="0" u="none" strike="noStrike">
              <a:solidFill>
                <a:schemeClr val="lt1"/>
              </a:solidFill>
              <a:effectLst/>
              <a:latin typeface="+mn-lt"/>
              <a:ea typeface="+mn-ea"/>
              <a:cs typeface="+mn-cs"/>
            </a:rPr>
            <a:t>  </a:t>
          </a:r>
          <a:endParaRPr lang="es-MX" sz="1100">
            <a:solidFill>
              <a:schemeClr val="tx1"/>
            </a:solidFill>
          </a:endParaRPr>
        </a:p>
      </xdr:txBody>
    </xdr:sp>
    <xdr:clientData/>
  </xdr:twoCellAnchor>
  <xdr:twoCellAnchor>
    <xdr:from>
      <xdr:col>3</xdr:col>
      <xdr:colOff>625079</xdr:colOff>
      <xdr:row>0</xdr:row>
      <xdr:rowOff>89297</xdr:rowOff>
    </xdr:from>
    <xdr:to>
      <xdr:col>3</xdr:col>
      <xdr:colOff>1469978</xdr:colOff>
      <xdr:row>0</xdr:row>
      <xdr:rowOff>518969</xdr:rowOff>
    </xdr:to>
    <xdr:sp macro="" textlink="">
      <xdr:nvSpPr>
        <xdr:cNvPr id="16" name="Rectángulo 15">
          <a:hlinkClick xmlns:r="http://schemas.openxmlformats.org/officeDocument/2006/relationships" r:id="rId3"/>
        </xdr:cNvPr>
        <xdr:cNvSpPr/>
      </xdr:nvSpPr>
      <xdr:spPr>
        <a:xfrm>
          <a:off x="2311798" y="89297"/>
          <a:ext cx="844899" cy="429672"/>
        </a:xfrm>
        <a:prstGeom prst="rect">
          <a:avLst/>
        </a:prstGeom>
        <a:solidFill>
          <a:schemeClr val="bg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100">
              <a:solidFill>
                <a:schemeClr val="tx1"/>
              </a:solidFill>
            </a:rPr>
            <a:t>OBJETIVO</a:t>
          </a:r>
        </a:p>
      </xdr:txBody>
    </xdr:sp>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193128</xdr:colOff>
          <xdr:row>0</xdr:row>
          <xdr:rowOff>136197</xdr:rowOff>
        </xdr:from>
        <xdr:to>
          <xdr:col>6</xdr:col>
          <xdr:colOff>410342</xdr:colOff>
          <xdr:row>0</xdr:row>
          <xdr:rowOff>498147</xdr:rowOff>
        </xdr:to>
        <xdr:sp macro="" textlink="">
          <xdr:nvSpPr>
            <xdr:cNvPr id="10250" name="Button 10" hidden="1">
              <a:extLst>
                <a:ext uri="{63B3BB69-23CF-44E3-9099-C40C66FF867C}">
                  <a14:compatExt spid="_x0000_s102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000" b="0" i="0" u="none" strike="noStrike" baseline="0">
                  <a:solidFill>
                    <a:srgbClr val="000000"/>
                  </a:solidFill>
                  <a:latin typeface="Century Gothic"/>
                </a:rPr>
                <a:t>INGRESO DE DATOS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824844</xdr:colOff>
          <xdr:row>0</xdr:row>
          <xdr:rowOff>125248</xdr:rowOff>
        </xdr:from>
        <xdr:to>
          <xdr:col>12</xdr:col>
          <xdr:colOff>208346</xdr:colOff>
          <xdr:row>0</xdr:row>
          <xdr:rowOff>487198</xdr:rowOff>
        </xdr:to>
        <xdr:sp macro="" textlink="">
          <xdr:nvSpPr>
            <xdr:cNvPr id="10251" name="Button 11" hidden="1">
              <a:extLst>
                <a:ext uri="{63B3BB69-23CF-44E3-9099-C40C66FF867C}">
                  <a14:compatExt spid="_x0000_s1025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000" b="0" i="0" u="none" strike="noStrike" baseline="0">
                  <a:solidFill>
                    <a:srgbClr val="000000"/>
                  </a:solidFill>
                  <a:latin typeface="Century Gothic"/>
                </a:rPr>
                <a:t>SIMULADOR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665108</xdr:colOff>
          <xdr:row>0</xdr:row>
          <xdr:rowOff>103350</xdr:rowOff>
        </xdr:from>
        <xdr:to>
          <xdr:col>7</xdr:col>
          <xdr:colOff>262759</xdr:colOff>
          <xdr:row>0</xdr:row>
          <xdr:rowOff>558361</xdr:rowOff>
        </xdr:to>
        <xdr:sp macro="" textlink="">
          <xdr:nvSpPr>
            <xdr:cNvPr id="10252" name="Button 12" hidden="1">
              <a:extLst>
                <a:ext uri="{63B3BB69-23CF-44E3-9099-C40C66FF867C}">
                  <a14:compatExt spid="_x0000_s1025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000" b="0" i="0" u="none" strike="noStrike" baseline="0">
                  <a:solidFill>
                    <a:srgbClr val="000000"/>
                  </a:solidFill>
                  <a:latin typeface="Century Gothic"/>
                </a:rPr>
                <a:t>COSTO DE PRODUCCIÓN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433005</xdr:colOff>
          <xdr:row>0</xdr:row>
          <xdr:rowOff>114299</xdr:rowOff>
        </xdr:from>
        <xdr:to>
          <xdr:col>8</xdr:col>
          <xdr:colOff>777329</xdr:colOff>
          <xdr:row>0</xdr:row>
          <xdr:rowOff>503620</xdr:rowOff>
        </xdr:to>
        <xdr:sp macro="" textlink="">
          <xdr:nvSpPr>
            <xdr:cNvPr id="10253" name="Button 13" hidden="1">
              <a:extLst>
                <a:ext uri="{63B3BB69-23CF-44E3-9099-C40C66FF867C}">
                  <a14:compatExt spid="_x0000_s1025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000" b="0" i="0" u="none" strike="noStrike" baseline="0">
                  <a:solidFill>
                    <a:srgbClr val="000000"/>
                  </a:solidFill>
                  <a:latin typeface="Century Gothic"/>
                </a:rPr>
                <a:t>DEPRECIACIÓN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81783</xdr:colOff>
          <xdr:row>0</xdr:row>
          <xdr:rowOff>125248</xdr:rowOff>
        </xdr:from>
        <xdr:to>
          <xdr:col>10</xdr:col>
          <xdr:colOff>587704</xdr:colOff>
          <xdr:row>0</xdr:row>
          <xdr:rowOff>487198</xdr:rowOff>
        </xdr:to>
        <xdr:sp macro="" textlink="">
          <xdr:nvSpPr>
            <xdr:cNvPr id="10254" name="Button 14" hidden="1">
              <a:extLst>
                <a:ext uri="{63B3BB69-23CF-44E3-9099-C40C66FF867C}">
                  <a14:compatExt spid="_x0000_s10254"/>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s-MX" sz="900" b="0" i="0" u="none" strike="noStrike" baseline="0">
                  <a:solidFill>
                    <a:srgbClr val="000000"/>
                  </a:solidFill>
                  <a:latin typeface="Century Gothic"/>
                </a:rPr>
                <a:t>GASTOS ADMINISTRATIVOS Y DE VENTA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391290</xdr:colOff>
          <xdr:row>0</xdr:row>
          <xdr:rowOff>147144</xdr:rowOff>
        </xdr:from>
        <xdr:to>
          <xdr:col>13</xdr:col>
          <xdr:colOff>457966</xdr:colOff>
          <xdr:row>0</xdr:row>
          <xdr:rowOff>509094</xdr:rowOff>
        </xdr:to>
        <xdr:sp macro="" textlink="">
          <xdr:nvSpPr>
            <xdr:cNvPr id="10255" name="Button 15" hidden="1">
              <a:extLst>
                <a:ext uri="{63B3BB69-23CF-44E3-9099-C40C66FF867C}">
                  <a14:compatExt spid="_x0000_s10255"/>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es-MX" sz="1100" b="0" i="0" u="none" strike="noStrike" baseline="0">
                  <a:solidFill>
                    <a:srgbClr val="000000"/>
                  </a:solidFill>
                  <a:latin typeface="Century Gothic"/>
                </a:rPr>
                <a:t>FNE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716565</xdr:colOff>
          <xdr:row>0</xdr:row>
          <xdr:rowOff>114300</xdr:rowOff>
        </xdr:from>
        <xdr:to>
          <xdr:col>16</xdr:col>
          <xdr:colOff>120759</xdr:colOff>
          <xdr:row>0</xdr:row>
          <xdr:rowOff>476250</xdr:rowOff>
        </xdr:to>
        <xdr:sp macro="" textlink="">
          <xdr:nvSpPr>
            <xdr:cNvPr id="10256" name="Button 16" hidden="1">
              <a:extLst>
                <a:ext uri="{63B3BB69-23CF-44E3-9099-C40C66FF867C}">
                  <a14:compatExt spid="_x0000_s10256"/>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s-MX" sz="900" b="0" i="0" u="none" strike="noStrike" baseline="0">
                  <a:solidFill>
                    <a:srgbClr val="000000"/>
                  </a:solidFill>
                  <a:latin typeface="Century Gothic"/>
                </a:rPr>
                <a:t>MÉTODOS PARA LA EVALUACIÓN DE PROYECTOS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95250</xdr:colOff>
          <xdr:row>0</xdr:row>
          <xdr:rowOff>114300</xdr:rowOff>
        </xdr:from>
        <xdr:to>
          <xdr:col>1</xdr:col>
          <xdr:colOff>266700</xdr:colOff>
          <xdr:row>0</xdr:row>
          <xdr:rowOff>476250</xdr:rowOff>
        </xdr:to>
        <xdr:sp macro="" textlink="">
          <xdr:nvSpPr>
            <xdr:cNvPr id="10257" name="Button 17" hidden="1">
              <a:extLst>
                <a:ext uri="{63B3BB69-23CF-44E3-9099-C40C66FF867C}">
                  <a14:compatExt spid="_x0000_s1025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000" b="0" i="0" u="none" strike="noStrike" baseline="0">
                  <a:solidFill>
                    <a:srgbClr val="000000"/>
                  </a:solidFill>
                  <a:latin typeface="Century Gothic"/>
                </a:rPr>
                <a:t>PORTADA</a:t>
              </a:r>
            </a:p>
          </xdr:txBody>
        </xdr:sp>
        <xdr:clientData fPrintsWithSheet="0"/>
      </xdr:twoCellAnchor>
    </mc:Choice>
    <mc:Fallback/>
  </mc:AlternateContent>
  <xdr:twoCellAnchor>
    <xdr:from>
      <xdr:col>16</xdr:col>
      <xdr:colOff>339396</xdr:colOff>
      <xdr:row>0</xdr:row>
      <xdr:rowOff>98536</xdr:rowOff>
    </xdr:from>
    <xdr:to>
      <xdr:col>18</xdr:col>
      <xdr:colOff>339396</xdr:colOff>
      <xdr:row>0</xdr:row>
      <xdr:rowOff>470778</xdr:rowOff>
    </xdr:to>
    <xdr:sp macro="" textlink="">
      <xdr:nvSpPr>
        <xdr:cNvPr id="2" name="Rectángulo 1">
          <a:hlinkClick xmlns:r="http://schemas.openxmlformats.org/officeDocument/2006/relationships" r:id="rId1"/>
        </xdr:cNvPr>
        <xdr:cNvSpPr/>
      </xdr:nvSpPr>
      <xdr:spPr>
        <a:xfrm>
          <a:off x="14583103" y="98536"/>
          <a:ext cx="1532759" cy="372242"/>
        </a:xfrm>
        <a:prstGeom prst="rect">
          <a:avLst/>
        </a:prstGeom>
        <a:solidFill>
          <a:schemeClr val="bg1">
            <a:lumMod val="95000"/>
          </a:schemeClr>
        </a:solidFill>
        <a:effectLst>
          <a:outerShdw blurRad="50800" dist="38100" dir="2700000" algn="tl" rotWithShape="0">
            <a:prstClr val="black">
              <a:alpha val="40000"/>
            </a:prstClr>
          </a:outerShdw>
        </a:effectLst>
      </xdr:spPr>
      <xdr:style>
        <a:lnRef idx="1">
          <a:schemeClr val="accent3"/>
        </a:lnRef>
        <a:fillRef idx="2">
          <a:schemeClr val="accent3"/>
        </a:fillRef>
        <a:effectRef idx="1">
          <a:schemeClr val="accent3"/>
        </a:effectRef>
        <a:fontRef idx="minor">
          <a:schemeClr val="dk1"/>
        </a:fontRef>
      </xdr:style>
      <xdr:txBody>
        <a:bodyPr vertOverflow="clip" horzOverflow="clip" rtlCol="0" anchor="ctr"/>
        <a:lstStyle/>
        <a:p>
          <a:pPr algn="ctr"/>
          <a:r>
            <a:rPr lang="es-MX" sz="900"/>
            <a:t>BALANCE </a:t>
          </a:r>
          <a:r>
            <a:rPr lang="es-MX" sz="900">
              <a:latin typeface="Century Gothic" panose="020B0502020202020204" pitchFamily="34" charset="0"/>
            </a:rPr>
            <a:t>GENERAL</a:t>
          </a:r>
        </a:p>
        <a:p>
          <a:pPr algn="l"/>
          <a:endParaRPr lang="es-MX" sz="900"/>
        </a:p>
      </xdr:txBody>
    </xdr:sp>
    <xdr:clientData/>
  </xdr:twoCellAnchor>
  <xdr:twoCellAnchor>
    <xdr:from>
      <xdr:col>2</xdr:col>
      <xdr:colOff>667845</xdr:colOff>
      <xdr:row>0</xdr:row>
      <xdr:rowOff>87587</xdr:rowOff>
    </xdr:from>
    <xdr:to>
      <xdr:col>3</xdr:col>
      <xdr:colOff>746365</xdr:colOff>
      <xdr:row>0</xdr:row>
      <xdr:rowOff>517259</xdr:rowOff>
    </xdr:to>
    <xdr:sp macro="" textlink="">
      <xdr:nvSpPr>
        <xdr:cNvPr id="12" name="Rectángulo 11">
          <a:hlinkClick xmlns:r="http://schemas.openxmlformats.org/officeDocument/2006/relationships" r:id="rId2"/>
        </xdr:cNvPr>
        <xdr:cNvSpPr/>
      </xdr:nvSpPr>
      <xdr:spPr>
        <a:xfrm>
          <a:off x="2200604" y="87587"/>
          <a:ext cx="844899" cy="429672"/>
        </a:xfrm>
        <a:prstGeom prst="rect">
          <a:avLst/>
        </a:prstGeom>
        <a:solidFill>
          <a:schemeClr val="bg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100">
              <a:solidFill>
                <a:schemeClr val="tx1"/>
              </a:solidFill>
            </a:rPr>
            <a:t>OBJETIVO</a:t>
          </a:r>
        </a:p>
      </xdr:txBody>
    </xdr:sp>
    <xdr:clientData/>
  </xdr:twoCellAnchor>
  <xdr:twoCellAnchor>
    <xdr:from>
      <xdr:col>1</xdr:col>
      <xdr:colOff>437931</xdr:colOff>
      <xdr:row>0</xdr:row>
      <xdr:rowOff>120431</xdr:rowOff>
    </xdr:from>
    <xdr:to>
      <xdr:col>2</xdr:col>
      <xdr:colOff>404977</xdr:colOff>
      <xdr:row>0</xdr:row>
      <xdr:rowOff>577631</xdr:rowOff>
    </xdr:to>
    <xdr:sp macro="" textlink="">
      <xdr:nvSpPr>
        <xdr:cNvPr id="13" name="Rectángulo 12">
          <a:hlinkClick xmlns:r="http://schemas.openxmlformats.org/officeDocument/2006/relationships" r:id="rId3"/>
        </xdr:cNvPr>
        <xdr:cNvSpPr/>
      </xdr:nvSpPr>
      <xdr:spPr>
        <a:xfrm>
          <a:off x="1204310" y="120431"/>
          <a:ext cx="733426" cy="457200"/>
        </a:xfrm>
        <a:prstGeom prst="rect">
          <a:avLst/>
        </a:prstGeom>
        <a:solidFill>
          <a:schemeClr val="bg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100">
              <a:solidFill>
                <a:schemeClr val="tx1"/>
              </a:solidFill>
            </a:rPr>
            <a:t>MARCO TEORICO</a:t>
          </a:r>
          <a:r>
            <a:rPr lang="es-MX" sz="1100" b="0" i="0" u="none" strike="noStrike">
              <a:solidFill>
                <a:schemeClr val="lt1"/>
              </a:solidFill>
              <a:effectLst/>
              <a:latin typeface="+mn-lt"/>
              <a:ea typeface="+mn-ea"/>
              <a:cs typeface="+mn-cs"/>
            </a:rPr>
            <a:t>  </a:t>
          </a:r>
          <a:endParaRPr lang="es-MX" sz="1100">
            <a:solidFill>
              <a:schemeClr val="tx1"/>
            </a:solidFill>
          </a:endParaRPr>
        </a:p>
      </xdr:txBody>
    </xdr:sp>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4.xml"/><Relationship Id="rId3" Type="http://schemas.openxmlformats.org/officeDocument/2006/relationships/ctrlProp" Target="../ctrlProps/ctrlProp9.xml"/><Relationship Id="rId7" Type="http://schemas.openxmlformats.org/officeDocument/2006/relationships/ctrlProp" Target="../ctrlProps/ctrlProp13.xml"/><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ctrlProp" Target="../ctrlProps/ctrlProp12.xml"/><Relationship Id="rId11" Type="http://schemas.openxmlformats.org/officeDocument/2006/relationships/ctrlProp" Target="../ctrlProps/ctrlProp17.xml"/><Relationship Id="rId5" Type="http://schemas.openxmlformats.org/officeDocument/2006/relationships/ctrlProp" Target="../ctrlProps/ctrlProp11.xml"/><Relationship Id="rId10" Type="http://schemas.openxmlformats.org/officeDocument/2006/relationships/ctrlProp" Target="../ctrlProps/ctrlProp16.xml"/><Relationship Id="rId4" Type="http://schemas.openxmlformats.org/officeDocument/2006/relationships/ctrlProp" Target="../ctrlProps/ctrlProp10.xml"/><Relationship Id="rId9" Type="http://schemas.openxmlformats.org/officeDocument/2006/relationships/ctrlProp" Target="../ctrlProps/ctrlProp15.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23.xml"/><Relationship Id="rId3" Type="http://schemas.openxmlformats.org/officeDocument/2006/relationships/ctrlProp" Target="../ctrlProps/ctrlProp18.xml"/><Relationship Id="rId7" Type="http://schemas.openxmlformats.org/officeDocument/2006/relationships/ctrlProp" Target="../ctrlProps/ctrlProp22.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ctrlProp" Target="../ctrlProps/ctrlProp21.xml"/><Relationship Id="rId11" Type="http://schemas.openxmlformats.org/officeDocument/2006/relationships/ctrlProp" Target="../ctrlProps/ctrlProp26.xml"/><Relationship Id="rId5" Type="http://schemas.openxmlformats.org/officeDocument/2006/relationships/ctrlProp" Target="../ctrlProps/ctrlProp20.xml"/><Relationship Id="rId10" Type="http://schemas.openxmlformats.org/officeDocument/2006/relationships/ctrlProp" Target="../ctrlProps/ctrlProp25.xml"/><Relationship Id="rId4" Type="http://schemas.openxmlformats.org/officeDocument/2006/relationships/ctrlProp" Target="../ctrlProps/ctrlProp19.xml"/><Relationship Id="rId9" Type="http://schemas.openxmlformats.org/officeDocument/2006/relationships/ctrlProp" Target="../ctrlProps/ctrlProp24.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31.xml"/><Relationship Id="rId3" Type="http://schemas.openxmlformats.org/officeDocument/2006/relationships/vmlDrawing" Target="../drawings/vmlDrawing4.vml"/><Relationship Id="rId7" Type="http://schemas.openxmlformats.org/officeDocument/2006/relationships/ctrlProp" Target="../ctrlProps/ctrlProp30.xml"/><Relationship Id="rId2" Type="http://schemas.openxmlformats.org/officeDocument/2006/relationships/drawing" Target="../drawings/drawing4.xml"/><Relationship Id="rId1" Type="http://schemas.openxmlformats.org/officeDocument/2006/relationships/printerSettings" Target="../printerSettings/printerSettings2.bin"/><Relationship Id="rId6" Type="http://schemas.openxmlformats.org/officeDocument/2006/relationships/ctrlProp" Target="../ctrlProps/ctrlProp29.xml"/><Relationship Id="rId11" Type="http://schemas.openxmlformats.org/officeDocument/2006/relationships/ctrlProp" Target="../ctrlProps/ctrlProp34.xml"/><Relationship Id="rId5" Type="http://schemas.openxmlformats.org/officeDocument/2006/relationships/ctrlProp" Target="../ctrlProps/ctrlProp28.xml"/><Relationship Id="rId10" Type="http://schemas.openxmlformats.org/officeDocument/2006/relationships/ctrlProp" Target="../ctrlProps/ctrlProp33.xml"/><Relationship Id="rId4" Type="http://schemas.openxmlformats.org/officeDocument/2006/relationships/ctrlProp" Target="../ctrlProps/ctrlProp27.xml"/><Relationship Id="rId9" Type="http://schemas.openxmlformats.org/officeDocument/2006/relationships/ctrlProp" Target="../ctrlProps/ctrlProp32.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40.xml"/><Relationship Id="rId3" Type="http://schemas.openxmlformats.org/officeDocument/2006/relationships/ctrlProp" Target="../ctrlProps/ctrlProp35.xml"/><Relationship Id="rId7" Type="http://schemas.openxmlformats.org/officeDocument/2006/relationships/ctrlProp" Target="../ctrlProps/ctrlProp39.xml"/><Relationship Id="rId12" Type="http://schemas.openxmlformats.org/officeDocument/2006/relationships/ctrlProp" Target="../ctrlProps/ctrlProp44.xml"/><Relationship Id="rId2" Type="http://schemas.openxmlformats.org/officeDocument/2006/relationships/vmlDrawing" Target="../drawings/vmlDrawing5.vml"/><Relationship Id="rId1" Type="http://schemas.openxmlformats.org/officeDocument/2006/relationships/drawing" Target="../drawings/drawing5.xml"/><Relationship Id="rId6" Type="http://schemas.openxmlformats.org/officeDocument/2006/relationships/ctrlProp" Target="../ctrlProps/ctrlProp38.xml"/><Relationship Id="rId11" Type="http://schemas.openxmlformats.org/officeDocument/2006/relationships/ctrlProp" Target="../ctrlProps/ctrlProp43.xml"/><Relationship Id="rId5" Type="http://schemas.openxmlformats.org/officeDocument/2006/relationships/ctrlProp" Target="../ctrlProps/ctrlProp37.xml"/><Relationship Id="rId10" Type="http://schemas.openxmlformats.org/officeDocument/2006/relationships/ctrlProp" Target="../ctrlProps/ctrlProp42.xml"/><Relationship Id="rId4" Type="http://schemas.openxmlformats.org/officeDocument/2006/relationships/ctrlProp" Target="../ctrlProps/ctrlProp36.xml"/><Relationship Id="rId9" Type="http://schemas.openxmlformats.org/officeDocument/2006/relationships/ctrlProp" Target="../ctrlProps/ctrlProp41.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49.xml"/><Relationship Id="rId3" Type="http://schemas.openxmlformats.org/officeDocument/2006/relationships/vmlDrawing" Target="../drawings/vmlDrawing6.vml"/><Relationship Id="rId7" Type="http://schemas.openxmlformats.org/officeDocument/2006/relationships/ctrlProp" Target="../ctrlProps/ctrlProp48.xml"/><Relationship Id="rId2" Type="http://schemas.openxmlformats.org/officeDocument/2006/relationships/drawing" Target="../drawings/drawing6.xml"/><Relationship Id="rId1" Type="http://schemas.openxmlformats.org/officeDocument/2006/relationships/printerSettings" Target="../printerSettings/printerSettings3.bin"/><Relationship Id="rId6" Type="http://schemas.openxmlformats.org/officeDocument/2006/relationships/ctrlProp" Target="../ctrlProps/ctrlProp47.xml"/><Relationship Id="rId11" Type="http://schemas.openxmlformats.org/officeDocument/2006/relationships/ctrlProp" Target="../ctrlProps/ctrlProp52.xml"/><Relationship Id="rId5" Type="http://schemas.openxmlformats.org/officeDocument/2006/relationships/ctrlProp" Target="../ctrlProps/ctrlProp46.xml"/><Relationship Id="rId10" Type="http://schemas.openxmlformats.org/officeDocument/2006/relationships/ctrlProp" Target="../ctrlProps/ctrlProp51.xml"/><Relationship Id="rId4" Type="http://schemas.openxmlformats.org/officeDocument/2006/relationships/ctrlProp" Target="../ctrlProps/ctrlProp45.xml"/><Relationship Id="rId9" Type="http://schemas.openxmlformats.org/officeDocument/2006/relationships/ctrlProp" Target="../ctrlProps/ctrlProp50.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58.xml"/><Relationship Id="rId3" Type="http://schemas.openxmlformats.org/officeDocument/2006/relationships/ctrlProp" Target="../ctrlProps/ctrlProp53.xml"/><Relationship Id="rId7" Type="http://schemas.openxmlformats.org/officeDocument/2006/relationships/ctrlProp" Target="../ctrlProps/ctrlProp57.xml"/><Relationship Id="rId2" Type="http://schemas.openxmlformats.org/officeDocument/2006/relationships/vmlDrawing" Target="../drawings/vmlDrawing7.vml"/><Relationship Id="rId1" Type="http://schemas.openxmlformats.org/officeDocument/2006/relationships/drawing" Target="../drawings/drawing7.xml"/><Relationship Id="rId6" Type="http://schemas.openxmlformats.org/officeDocument/2006/relationships/ctrlProp" Target="../ctrlProps/ctrlProp56.xml"/><Relationship Id="rId5" Type="http://schemas.openxmlformats.org/officeDocument/2006/relationships/ctrlProp" Target="../ctrlProps/ctrlProp55.xml"/><Relationship Id="rId10" Type="http://schemas.openxmlformats.org/officeDocument/2006/relationships/ctrlProp" Target="../ctrlProps/ctrlProp60.xml"/><Relationship Id="rId4" Type="http://schemas.openxmlformats.org/officeDocument/2006/relationships/ctrlProp" Target="../ctrlProps/ctrlProp54.xml"/><Relationship Id="rId9" Type="http://schemas.openxmlformats.org/officeDocument/2006/relationships/ctrlProp" Target="../ctrlProps/ctrlProp59.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65.xml"/><Relationship Id="rId3" Type="http://schemas.openxmlformats.org/officeDocument/2006/relationships/vmlDrawing" Target="../drawings/vmlDrawing8.vml"/><Relationship Id="rId7" Type="http://schemas.openxmlformats.org/officeDocument/2006/relationships/ctrlProp" Target="../ctrlProps/ctrlProp64.xml"/><Relationship Id="rId2" Type="http://schemas.openxmlformats.org/officeDocument/2006/relationships/drawing" Target="../drawings/drawing8.xml"/><Relationship Id="rId1" Type="http://schemas.openxmlformats.org/officeDocument/2006/relationships/printerSettings" Target="../printerSettings/printerSettings4.bin"/><Relationship Id="rId6" Type="http://schemas.openxmlformats.org/officeDocument/2006/relationships/ctrlProp" Target="../ctrlProps/ctrlProp63.xml"/><Relationship Id="rId11" Type="http://schemas.openxmlformats.org/officeDocument/2006/relationships/ctrlProp" Target="../ctrlProps/ctrlProp68.xml"/><Relationship Id="rId5" Type="http://schemas.openxmlformats.org/officeDocument/2006/relationships/ctrlProp" Target="../ctrlProps/ctrlProp62.xml"/><Relationship Id="rId10" Type="http://schemas.openxmlformats.org/officeDocument/2006/relationships/ctrlProp" Target="../ctrlProps/ctrlProp67.xml"/><Relationship Id="rId4" Type="http://schemas.openxmlformats.org/officeDocument/2006/relationships/ctrlProp" Target="../ctrlProps/ctrlProp61.xml"/><Relationship Id="rId9" Type="http://schemas.openxmlformats.org/officeDocument/2006/relationships/ctrlProp" Target="../ctrlProps/ctrlProp66.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73.xml"/><Relationship Id="rId13" Type="http://schemas.openxmlformats.org/officeDocument/2006/relationships/ctrlProp" Target="../ctrlProps/ctrlProp78.xml"/><Relationship Id="rId3" Type="http://schemas.openxmlformats.org/officeDocument/2006/relationships/vmlDrawing" Target="../drawings/vmlDrawing9.vml"/><Relationship Id="rId7" Type="http://schemas.openxmlformats.org/officeDocument/2006/relationships/ctrlProp" Target="../ctrlProps/ctrlProp72.xml"/><Relationship Id="rId12" Type="http://schemas.openxmlformats.org/officeDocument/2006/relationships/ctrlProp" Target="../ctrlProps/ctrlProp77.xml"/><Relationship Id="rId17" Type="http://schemas.openxmlformats.org/officeDocument/2006/relationships/ctrlProp" Target="../ctrlProps/ctrlProp82.xml"/><Relationship Id="rId2" Type="http://schemas.openxmlformats.org/officeDocument/2006/relationships/drawing" Target="../drawings/drawing9.xml"/><Relationship Id="rId16" Type="http://schemas.openxmlformats.org/officeDocument/2006/relationships/ctrlProp" Target="../ctrlProps/ctrlProp81.xml"/><Relationship Id="rId1" Type="http://schemas.openxmlformats.org/officeDocument/2006/relationships/printerSettings" Target="../printerSettings/printerSettings5.bin"/><Relationship Id="rId6" Type="http://schemas.openxmlformats.org/officeDocument/2006/relationships/ctrlProp" Target="../ctrlProps/ctrlProp71.xml"/><Relationship Id="rId11" Type="http://schemas.openxmlformats.org/officeDocument/2006/relationships/ctrlProp" Target="../ctrlProps/ctrlProp76.xml"/><Relationship Id="rId5" Type="http://schemas.openxmlformats.org/officeDocument/2006/relationships/ctrlProp" Target="../ctrlProps/ctrlProp70.xml"/><Relationship Id="rId15" Type="http://schemas.openxmlformats.org/officeDocument/2006/relationships/ctrlProp" Target="../ctrlProps/ctrlProp80.xml"/><Relationship Id="rId10" Type="http://schemas.openxmlformats.org/officeDocument/2006/relationships/ctrlProp" Target="../ctrlProps/ctrlProp75.xml"/><Relationship Id="rId4" Type="http://schemas.openxmlformats.org/officeDocument/2006/relationships/ctrlProp" Target="../ctrlProps/ctrlProp69.xml"/><Relationship Id="rId9" Type="http://schemas.openxmlformats.org/officeDocument/2006/relationships/ctrlProp" Target="../ctrlProps/ctrlProp74.xml"/><Relationship Id="rId14" Type="http://schemas.openxmlformats.org/officeDocument/2006/relationships/ctrlProp" Target="../ctrlProps/ctrlProp79.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87.xml"/><Relationship Id="rId13" Type="http://schemas.openxmlformats.org/officeDocument/2006/relationships/ctrlProp" Target="../ctrlProps/ctrlProp92.xml"/><Relationship Id="rId18" Type="http://schemas.openxmlformats.org/officeDocument/2006/relationships/ctrlProp" Target="../ctrlProps/ctrlProp97.xml"/><Relationship Id="rId3" Type="http://schemas.openxmlformats.org/officeDocument/2006/relationships/vmlDrawing" Target="../drawings/vmlDrawing10.vml"/><Relationship Id="rId21" Type="http://schemas.openxmlformats.org/officeDocument/2006/relationships/ctrlProp" Target="../ctrlProps/ctrlProp100.xml"/><Relationship Id="rId7" Type="http://schemas.openxmlformats.org/officeDocument/2006/relationships/ctrlProp" Target="../ctrlProps/ctrlProp86.xml"/><Relationship Id="rId12" Type="http://schemas.openxmlformats.org/officeDocument/2006/relationships/ctrlProp" Target="../ctrlProps/ctrlProp91.xml"/><Relationship Id="rId17" Type="http://schemas.openxmlformats.org/officeDocument/2006/relationships/ctrlProp" Target="../ctrlProps/ctrlProp96.xml"/><Relationship Id="rId2" Type="http://schemas.openxmlformats.org/officeDocument/2006/relationships/drawing" Target="../drawings/drawing10.xml"/><Relationship Id="rId16" Type="http://schemas.openxmlformats.org/officeDocument/2006/relationships/ctrlProp" Target="../ctrlProps/ctrlProp95.xml"/><Relationship Id="rId20" Type="http://schemas.openxmlformats.org/officeDocument/2006/relationships/ctrlProp" Target="../ctrlProps/ctrlProp99.xml"/><Relationship Id="rId1" Type="http://schemas.openxmlformats.org/officeDocument/2006/relationships/printerSettings" Target="../printerSettings/printerSettings6.bin"/><Relationship Id="rId6" Type="http://schemas.openxmlformats.org/officeDocument/2006/relationships/ctrlProp" Target="../ctrlProps/ctrlProp85.xml"/><Relationship Id="rId11" Type="http://schemas.openxmlformats.org/officeDocument/2006/relationships/ctrlProp" Target="../ctrlProps/ctrlProp90.xml"/><Relationship Id="rId5" Type="http://schemas.openxmlformats.org/officeDocument/2006/relationships/ctrlProp" Target="../ctrlProps/ctrlProp84.xml"/><Relationship Id="rId15" Type="http://schemas.openxmlformats.org/officeDocument/2006/relationships/ctrlProp" Target="../ctrlProps/ctrlProp94.xml"/><Relationship Id="rId23" Type="http://schemas.openxmlformats.org/officeDocument/2006/relationships/ctrlProp" Target="../ctrlProps/ctrlProp102.xml"/><Relationship Id="rId10" Type="http://schemas.openxmlformats.org/officeDocument/2006/relationships/ctrlProp" Target="../ctrlProps/ctrlProp89.xml"/><Relationship Id="rId19" Type="http://schemas.openxmlformats.org/officeDocument/2006/relationships/ctrlProp" Target="../ctrlProps/ctrlProp98.xml"/><Relationship Id="rId4" Type="http://schemas.openxmlformats.org/officeDocument/2006/relationships/ctrlProp" Target="../ctrlProps/ctrlProp83.xml"/><Relationship Id="rId9" Type="http://schemas.openxmlformats.org/officeDocument/2006/relationships/ctrlProp" Target="../ctrlProps/ctrlProp88.xml"/><Relationship Id="rId14" Type="http://schemas.openxmlformats.org/officeDocument/2006/relationships/ctrlProp" Target="../ctrlProps/ctrlProp93.xml"/><Relationship Id="rId22" Type="http://schemas.openxmlformats.org/officeDocument/2006/relationships/ctrlProp" Target="../ctrlProps/ctrlProp101.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108.xml"/><Relationship Id="rId3" Type="http://schemas.openxmlformats.org/officeDocument/2006/relationships/ctrlProp" Target="../ctrlProps/ctrlProp103.xml"/><Relationship Id="rId7" Type="http://schemas.openxmlformats.org/officeDocument/2006/relationships/ctrlProp" Target="../ctrlProps/ctrlProp107.xml"/><Relationship Id="rId2" Type="http://schemas.openxmlformats.org/officeDocument/2006/relationships/vmlDrawing" Target="../drawings/vmlDrawing11.vml"/><Relationship Id="rId1" Type="http://schemas.openxmlformats.org/officeDocument/2006/relationships/drawing" Target="../drawings/drawing11.xml"/><Relationship Id="rId6" Type="http://schemas.openxmlformats.org/officeDocument/2006/relationships/ctrlProp" Target="../ctrlProps/ctrlProp106.xml"/><Relationship Id="rId11" Type="http://schemas.openxmlformats.org/officeDocument/2006/relationships/ctrlProp" Target="../ctrlProps/ctrlProp111.xml"/><Relationship Id="rId5" Type="http://schemas.openxmlformats.org/officeDocument/2006/relationships/ctrlProp" Target="../ctrlProps/ctrlProp105.xml"/><Relationship Id="rId10" Type="http://schemas.openxmlformats.org/officeDocument/2006/relationships/ctrlProp" Target="../ctrlProps/ctrlProp110.xml"/><Relationship Id="rId4" Type="http://schemas.openxmlformats.org/officeDocument/2006/relationships/ctrlProp" Target="../ctrlProps/ctrlProp104.xml"/><Relationship Id="rId9" Type="http://schemas.openxmlformats.org/officeDocument/2006/relationships/ctrlProp" Target="../ctrlProps/ctrlProp109.xml"/></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117.xml"/><Relationship Id="rId3" Type="http://schemas.openxmlformats.org/officeDocument/2006/relationships/ctrlProp" Target="../ctrlProps/ctrlProp112.xml"/><Relationship Id="rId7" Type="http://schemas.openxmlformats.org/officeDocument/2006/relationships/ctrlProp" Target="../ctrlProps/ctrlProp116.xml"/><Relationship Id="rId2" Type="http://schemas.openxmlformats.org/officeDocument/2006/relationships/vmlDrawing" Target="../drawings/vmlDrawing12.vml"/><Relationship Id="rId1" Type="http://schemas.openxmlformats.org/officeDocument/2006/relationships/drawing" Target="../drawings/drawing12.xml"/><Relationship Id="rId6" Type="http://schemas.openxmlformats.org/officeDocument/2006/relationships/ctrlProp" Target="../ctrlProps/ctrlProp115.xml"/><Relationship Id="rId5" Type="http://schemas.openxmlformats.org/officeDocument/2006/relationships/ctrlProp" Target="../ctrlProps/ctrlProp114.xml"/><Relationship Id="rId10" Type="http://schemas.openxmlformats.org/officeDocument/2006/relationships/ctrlProp" Target="../ctrlProps/ctrlProp119.xml"/><Relationship Id="rId4" Type="http://schemas.openxmlformats.org/officeDocument/2006/relationships/ctrlProp" Target="../ctrlProps/ctrlProp113.xml"/><Relationship Id="rId9" Type="http://schemas.openxmlformats.org/officeDocument/2006/relationships/ctrlProp" Target="../ctrlProps/ctrlProp11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AB25"/>
  <sheetViews>
    <sheetView zoomScale="85" zoomScaleNormal="85" workbookViewId="0">
      <pane ySplit="1" topLeftCell="A2" activePane="bottomLeft" state="frozen"/>
      <selection pane="bottomLeft" activeCell="B4" sqref="B4"/>
    </sheetView>
  </sheetViews>
  <sheetFormatPr baseColWidth="10" defaultRowHeight="15" x14ac:dyDescent="0.25"/>
  <cols>
    <col min="1" max="1" width="11.42578125" style="44" customWidth="1"/>
    <col min="2" max="16384" width="11.42578125" style="44"/>
  </cols>
  <sheetData>
    <row r="1" spans="1:28" s="124" customFormat="1" ht="46.5" customHeight="1" thickBot="1" x14ac:dyDescent="0.3">
      <c r="B1" s="57"/>
      <c r="C1" s="57"/>
    </row>
    <row r="2" spans="1:28" ht="15.75" thickTop="1" x14ac:dyDescent="0.25">
      <c r="A2" s="328"/>
      <c r="B2" s="328"/>
      <c r="C2" s="328"/>
      <c r="D2" s="328"/>
      <c r="E2" s="328"/>
      <c r="F2" s="328"/>
      <c r="G2" s="328"/>
      <c r="H2" s="328"/>
      <c r="I2" s="328"/>
      <c r="J2" s="328"/>
      <c r="K2" s="328"/>
      <c r="L2" s="328"/>
      <c r="M2" s="328"/>
      <c r="N2" s="328"/>
      <c r="O2" s="328"/>
      <c r="P2" s="328"/>
      <c r="Q2" s="328"/>
      <c r="R2" s="328"/>
      <c r="S2" s="328"/>
      <c r="T2" s="328"/>
      <c r="U2" s="328"/>
      <c r="V2" s="328"/>
      <c r="W2" s="328"/>
      <c r="X2" s="328"/>
      <c r="Y2" s="328"/>
      <c r="Z2" s="328"/>
      <c r="AA2" s="328"/>
      <c r="AB2" s="328"/>
    </row>
    <row r="3" spans="1:28" ht="15.75" thickBot="1" x14ac:dyDescent="0.3">
      <c r="A3" s="328"/>
      <c r="B3" s="328"/>
      <c r="C3" s="328"/>
      <c r="D3" s="328"/>
      <c r="E3" s="328"/>
      <c r="F3" s="328"/>
      <c r="G3" s="328"/>
      <c r="H3" s="328"/>
      <c r="I3" s="328"/>
      <c r="J3" s="328"/>
      <c r="K3" s="328"/>
      <c r="L3" s="328"/>
      <c r="M3" s="328"/>
      <c r="N3" s="328"/>
      <c r="O3" s="328"/>
      <c r="P3" s="328"/>
      <c r="Q3" s="328"/>
      <c r="R3" s="328"/>
      <c r="S3" s="328"/>
      <c r="T3" s="328"/>
      <c r="U3" s="328"/>
      <c r="V3" s="328"/>
      <c r="W3" s="328"/>
      <c r="X3" s="328"/>
      <c r="Y3" s="328"/>
      <c r="Z3" s="328"/>
      <c r="AA3" s="328"/>
      <c r="AB3" s="328"/>
    </row>
    <row r="4" spans="1:28" ht="15.75" thickTop="1" x14ac:dyDescent="0.25">
      <c r="A4" s="328"/>
      <c r="B4" s="328"/>
      <c r="C4" s="329"/>
      <c r="D4" s="330"/>
      <c r="E4" s="330"/>
      <c r="F4" s="330"/>
      <c r="G4" s="330"/>
      <c r="H4" s="330"/>
      <c r="I4" s="330"/>
      <c r="J4" s="330"/>
      <c r="K4" s="330"/>
      <c r="L4" s="330"/>
      <c r="M4" s="330"/>
      <c r="N4" s="331"/>
      <c r="O4" s="328"/>
      <c r="P4" s="328"/>
      <c r="Q4" s="328"/>
      <c r="R4" s="328"/>
      <c r="S4" s="328"/>
      <c r="T4" s="328"/>
      <c r="U4" s="328"/>
      <c r="V4" s="328"/>
      <c r="W4" s="328"/>
      <c r="X4" s="328"/>
      <c r="Y4" s="328"/>
      <c r="Z4" s="328"/>
      <c r="AA4" s="328"/>
      <c r="AB4" s="328"/>
    </row>
    <row r="5" spans="1:28" x14ac:dyDescent="0.25">
      <c r="A5" s="328"/>
      <c r="B5" s="328"/>
      <c r="C5" s="332"/>
      <c r="D5" s="333"/>
      <c r="E5" s="334" t="s">
        <v>33</v>
      </c>
      <c r="F5" s="335"/>
      <c r="G5" s="335"/>
      <c r="H5" s="335"/>
      <c r="I5" s="335"/>
      <c r="J5" s="335"/>
      <c r="K5" s="335"/>
      <c r="L5" s="335"/>
      <c r="M5" s="333"/>
      <c r="N5" s="336"/>
      <c r="O5" s="328"/>
      <c r="P5" s="328"/>
      <c r="Q5" s="328"/>
      <c r="R5" s="328"/>
      <c r="S5" s="328"/>
      <c r="T5" s="328"/>
      <c r="U5" s="328"/>
      <c r="V5" s="328"/>
      <c r="W5" s="328"/>
      <c r="X5" s="328"/>
      <c r="Y5" s="328"/>
      <c r="Z5" s="328"/>
      <c r="AA5" s="328"/>
      <c r="AB5" s="328"/>
    </row>
    <row r="6" spans="1:28" x14ac:dyDescent="0.25">
      <c r="A6" s="328"/>
      <c r="B6" s="328"/>
      <c r="C6" s="332"/>
      <c r="D6" s="333"/>
      <c r="E6" s="334" t="s">
        <v>34</v>
      </c>
      <c r="F6" s="335"/>
      <c r="G6" s="335"/>
      <c r="H6" s="335"/>
      <c r="I6" s="335"/>
      <c r="J6" s="335"/>
      <c r="K6" s="335"/>
      <c r="L6" s="335"/>
      <c r="M6" s="333"/>
      <c r="N6" s="336"/>
      <c r="O6" s="328"/>
      <c r="P6" s="328"/>
      <c r="Q6" s="328"/>
      <c r="R6" s="328"/>
      <c r="S6" s="328"/>
      <c r="T6" s="328"/>
      <c r="U6" s="328"/>
      <c r="V6" s="328"/>
      <c r="W6" s="328"/>
      <c r="X6" s="328"/>
      <c r="Y6" s="328"/>
      <c r="Z6" s="328"/>
      <c r="AA6" s="328"/>
      <c r="AB6" s="328"/>
    </row>
    <row r="7" spans="1:28" x14ac:dyDescent="0.25">
      <c r="A7" s="328"/>
      <c r="B7" s="328"/>
      <c r="C7" s="332"/>
      <c r="D7" s="333"/>
      <c r="E7" s="333"/>
      <c r="F7" s="333"/>
      <c r="G7" s="333"/>
      <c r="H7" s="334" t="s">
        <v>35</v>
      </c>
      <c r="I7" s="335"/>
      <c r="J7" s="333"/>
      <c r="K7" s="333"/>
      <c r="L7" s="333"/>
      <c r="M7" s="333"/>
      <c r="N7" s="336"/>
      <c r="O7" s="328"/>
      <c r="P7" s="328"/>
      <c r="Q7" s="328"/>
      <c r="R7" s="328"/>
      <c r="S7" s="328"/>
      <c r="T7" s="328"/>
      <c r="U7" s="328"/>
      <c r="V7" s="328"/>
      <c r="W7" s="328"/>
      <c r="X7" s="328"/>
      <c r="Y7" s="328"/>
      <c r="Z7" s="328"/>
      <c r="AA7" s="328"/>
      <c r="AB7" s="328"/>
    </row>
    <row r="8" spans="1:28" x14ac:dyDescent="0.25">
      <c r="A8" s="328"/>
      <c r="B8" s="328"/>
      <c r="C8" s="332"/>
      <c r="D8" s="333"/>
      <c r="E8" s="333"/>
      <c r="F8" s="333"/>
      <c r="G8" s="333"/>
      <c r="H8" s="333"/>
      <c r="I8" s="333"/>
      <c r="J8" s="333"/>
      <c r="K8" s="333"/>
      <c r="L8" s="333"/>
      <c r="M8" s="333"/>
      <c r="N8" s="336"/>
      <c r="O8" s="328"/>
      <c r="P8" s="328"/>
      <c r="Q8" s="328"/>
      <c r="R8" s="328"/>
      <c r="S8" s="328"/>
      <c r="T8" s="328"/>
      <c r="U8" s="328"/>
      <c r="V8" s="328"/>
      <c r="W8" s="328"/>
      <c r="X8" s="328"/>
      <c r="Y8" s="328"/>
      <c r="Z8" s="328"/>
      <c r="AA8" s="328"/>
      <c r="AB8" s="328"/>
    </row>
    <row r="9" spans="1:28" x14ac:dyDescent="0.25">
      <c r="A9" s="328"/>
      <c r="B9" s="328"/>
      <c r="C9" s="332"/>
      <c r="D9" s="333"/>
      <c r="E9" s="333"/>
      <c r="F9" s="333"/>
      <c r="G9" s="333"/>
      <c r="H9" s="334" t="s">
        <v>36</v>
      </c>
      <c r="I9" s="335"/>
      <c r="J9" s="333"/>
      <c r="K9" s="333"/>
      <c r="L9" s="333"/>
      <c r="M9" s="333"/>
      <c r="N9" s="336"/>
      <c r="O9" s="328"/>
      <c r="P9" s="328"/>
      <c r="Q9" s="328"/>
      <c r="R9" s="328"/>
      <c r="S9" s="328"/>
      <c r="T9" s="328"/>
      <c r="U9" s="328"/>
      <c r="V9" s="328"/>
      <c r="W9" s="328"/>
      <c r="X9" s="328"/>
      <c r="Y9" s="328"/>
      <c r="Z9" s="328"/>
      <c r="AA9" s="328"/>
      <c r="AB9" s="328"/>
    </row>
    <row r="10" spans="1:28" x14ac:dyDescent="0.25">
      <c r="A10" s="328"/>
      <c r="B10" s="328"/>
      <c r="C10" s="332"/>
      <c r="D10" s="333"/>
      <c r="E10" s="333"/>
      <c r="F10" s="333"/>
      <c r="G10" s="334" t="s">
        <v>37</v>
      </c>
      <c r="H10" s="335"/>
      <c r="I10" s="335"/>
      <c r="J10" s="335"/>
      <c r="K10" s="333"/>
      <c r="L10" s="333"/>
      <c r="M10" s="333"/>
      <c r="N10" s="336"/>
      <c r="O10" s="328"/>
      <c r="P10" s="328"/>
      <c r="Q10" s="328"/>
      <c r="R10" s="328"/>
      <c r="S10" s="328"/>
      <c r="T10" s="328"/>
      <c r="U10" s="328"/>
      <c r="V10" s="328"/>
      <c r="W10" s="328"/>
      <c r="X10" s="328"/>
      <c r="Y10" s="328"/>
      <c r="Z10" s="328"/>
      <c r="AA10" s="328"/>
      <c r="AB10" s="328"/>
    </row>
    <row r="11" spans="1:28" x14ac:dyDescent="0.25">
      <c r="A11" s="328"/>
      <c r="B11" s="328"/>
      <c r="C11" s="332"/>
      <c r="D11" s="333"/>
      <c r="E11" s="333"/>
      <c r="F11" s="333"/>
      <c r="G11" s="333"/>
      <c r="H11" s="333"/>
      <c r="I11" s="333"/>
      <c r="J11" s="333"/>
      <c r="K11" s="333"/>
      <c r="L11" s="333"/>
      <c r="M11" s="333"/>
      <c r="N11" s="336"/>
      <c r="O11" s="328"/>
      <c r="P11" s="328"/>
      <c r="Q11" s="328"/>
      <c r="R11" s="328"/>
      <c r="S11" s="328"/>
      <c r="T11" s="328"/>
      <c r="U11" s="328"/>
      <c r="V11" s="328"/>
      <c r="W11" s="328"/>
      <c r="X11" s="328"/>
      <c r="Y11" s="328"/>
      <c r="Z11" s="328"/>
      <c r="AA11" s="328"/>
      <c r="AB11" s="328"/>
    </row>
    <row r="12" spans="1:28" x14ac:dyDescent="0.25">
      <c r="A12" s="328"/>
      <c r="B12" s="328"/>
      <c r="C12" s="332"/>
      <c r="D12" s="333"/>
      <c r="E12" s="333"/>
      <c r="F12" s="333"/>
      <c r="G12" s="333"/>
      <c r="H12" s="334" t="s">
        <v>38</v>
      </c>
      <c r="I12" s="335"/>
      <c r="J12" s="333"/>
      <c r="K12" s="333"/>
      <c r="L12" s="333"/>
      <c r="M12" s="333"/>
      <c r="N12" s="336"/>
      <c r="O12" s="328"/>
      <c r="P12" s="328"/>
      <c r="Q12" s="328"/>
      <c r="R12" s="328"/>
      <c r="S12" s="328"/>
      <c r="T12" s="328"/>
      <c r="U12" s="328"/>
      <c r="V12" s="328"/>
      <c r="W12" s="328"/>
      <c r="X12" s="328"/>
      <c r="Y12" s="328"/>
      <c r="Z12" s="328"/>
      <c r="AA12" s="328"/>
      <c r="AB12" s="328"/>
    </row>
    <row r="13" spans="1:28" x14ac:dyDescent="0.25">
      <c r="A13" s="328"/>
      <c r="B13" s="328"/>
      <c r="C13" s="332"/>
      <c r="D13" s="333"/>
      <c r="E13" s="333"/>
      <c r="F13" s="333"/>
      <c r="G13" s="334" t="s">
        <v>39</v>
      </c>
      <c r="H13" s="335"/>
      <c r="I13" s="335"/>
      <c r="J13" s="335"/>
      <c r="K13" s="333"/>
      <c r="L13" s="333"/>
      <c r="M13" s="333"/>
      <c r="N13" s="336"/>
      <c r="O13" s="328"/>
      <c r="P13" s="328"/>
      <c r="Q13" s="328"/>
      <c r="R13" s="328"/>
      <c r="S13" s="328"/>
      <c r="T13" s="328"/>
      <c r="U13" s="328"/>
      <c r="V13" s="328"/>
      <c r="W13" s="328"/>
      <c r="X13" s="328"/>
      <c r="Y13" s="328"/>
      <c r="Z13" s="328"/>
      <c r="AA13" s="328"/>
      <c r="AB13" s="328"/>
    </row>
    <row r="14" spans="1:28" x14ac:dyDescent="0.25">
      <c r="A14" s="328"/>
      <c r="B14" s="328"/>
      <c r="C14" s="332"/>
      <c r="D14" s="333"/>
      <c r="E14" s="333"/>
      <c r="F14" s="333"/>
      <c r="G14" s="333"/>
      <c r="H14" s="333"/>
      <c r="I14" s="333"/>
      <c r="J14" s="333"/>
      <c r="K14" s="333"/>
      <c r="L14" s="333"/>
      <c r="M14" s="333"/>
      <c r="N14" s="336"/>
      <c r="O14" s="328"/>
      <c r="P14" s="328"/>
      <c r="Q14" s="328"/>
      <c r="R14" s="328"/>
      <c r="S14" s="328"/>
      <c r="T14" s="328"/>
      <c r="U14" s="328"/>
      <c r="V14" s="328"/>
      <c r="W14" s="328"/>
      <c r="X14" s="328"/>
      <c r="Y14" s="328"/>
      <c r="Z14" s="328"/>
      <c r="AA14" s="328"/>
      <c r="AB14" s="328"/>
    </row>
    <row r="15" spans="1:28" ht="23.25" customHeight="1" x14ac:dyDescent="0.25">
      <c r="A15" s="328"/>
      <c r="B15" s="328"/>
      <c r="C15" s="332"/>
      <c r="D15" s="337" t="s">
        <v>77</v>
      </c>
      <c r="E15" s="337"/>
      <c r="F15" s="337"/>
      <c r="G15" s="337"/>
      <c r="H15" s="337"/>
      <c r="I15" s="337"/>
      <c r="J15" s="337"/>
      <c r="K15" s="337"/>
      <c r="L15" s="337"/>
      <c r="M15" s="337"/>
      <c r="N15" s="336"/>
      <c r="O15" s="328"/>
      <c r="P15" s="328"/>
      <c r="Q15" s="328"/>
      <c r="R15" s="328"/>
      <c r="S15" s="328"/>
      <c r="T15" s="328"/>
      <c r="U15" s="328"/>
      <c r="V15" s="328"/>
      <c r="W15" s="328"/>
      <c r="X15" s="328"/>
      <c r="Y15" s="328"/>
      <c r="Z15" s="328"/>
      <c r="AA15" s="328"/>
      <c r="AB15" s="328"/>
    </row>
    <row r="16" spans="1:28" ht="21.75" customHeight="1" x14ac:dyDescent="0.25">
      <c r="A16" s="328"/>
      <c r="B16" s="328"/>
      <c r="C16" s="332"/>
      <c r="D16" s="337"/>
      <c r="E16" s="337"/>
      <c r="F16" s="337"/>
      <c r="G16" s="337"/>
      <c r="H16" s="337"/>
      <c r="I16" s="337"/>
      <c r="J16" s="337"/>
      <c r="K16" s="337"/>
      <c r="L16" s="337"/>
      <c r="M16" s="337"/>
      <c r="N16" s="336"/>
      <c r="O16" s="328"/>
      <c r="P16" s="328"/>
      <c r="Q16" s="328"/>
      <c r="R16" s="328"/>
      <c r="S16" s="328"/>
      <c r="T16" s="328"/>
      <c r="U16" s="328"/>
      <c r="V16" s="328"/>
      <c r="W16" s="328"/>
      <c r="X16" s="328"/>
      <c r="Y16" s="328"/>
      <c r="Z16" s="328"/>
      <c r="AA16" s="328"/>
      <c r="AB16" s="328"/>
    </row>
    <row r="17" spans="1:28" x14ac:dyDescent="0.25">
      <c r="A17" s="328"/>
      <c r="B17" s="328"/>
      <c r="C17" s="332"/>
      <c r="D17" s="333"/>
      <c r="E17" s="333"/>
      <c r="F17" s="333"/>
      <c r="G17" s="338"/>
      <c r="H17" s="338"/>
      <c r="I17" s="338"/>
      <c r="J17" s="338"/>
      <c r="K17" s="333"/>
      <c r="L17" s="333"/>
      <c r="M17" s="333"/>
      <c r="N17" s="336"/>
      <c r="O17" s="328"/>
      <c r="P17" s="328"/>
      <c r="Q17" s="328"/>
      <c r="R17" s="328"/>
      <c r="S17" s="328"/>
      <c r="T17" s="328"/>
      <c r="U17" s="328"/>
      <c r="V17" s="328"/>
      <c r="W17" s="328"/>
      <c r="X17" s="328"/>
      <c r="Y17" s="328"/>
      <c r="Z17" s="328"/>
      <c r="AA17" s="328"/>
      <c r="AB17" s="328"/>
    </row>
    <row r="18" spans="1:28" x14ac:dyDescent="0.25">
      <c r="A18" s="328"/>
      <c r="B18" s="328"/>
      <c r="C18" s="332"/>
      <c r="D18" s="333"/>
      <c r="E18" s="333"/>
      <c r="F18" s="333"/>
      <c r="G18" s="334" t="s">
        <v>40</v>
      </c>
      <c r="H18" s="335"/>
      <c r="I18" s="335"/>
      <c r="J18" s="335"/>
      <c r="K18" s="333"/>
      <c r="L18" s="333"/>
      <c r="M18" s="333"/>
      <c r="N18" s="336"/>
      <c r="O18" s="328"/>
      <c r="P18" s="328"/>
      <c r="Q18" s="328"/>
      <c r="R18" s="328"/>
      <c r="S18" s="328"/>
      <c r="T18" s="328"/>
      <c r="U18" s="328"/>
      <c r="V18" s="328"/>
      <c r="W18" s="328"/>
      <c r="X18" s="328"/>
      <c r="Y18" s="328"/>
      <c r="Z18" s="328"/>
      <c r="AA18" s="328"/>
      <c r="AB18" s="328"/>
    </row>
    <row r="19" spans="1:28" x14ac:dyDescent="0.25">
      <c r="A19" s="328"/>
      <c r="B19" s="328"/>
      <c r="C19" s="332"/>
      <c r="D19" s="333"/>
      <c r="E19" s="333"/>
      <c r="F19" s="333"/>
      <c r="G19" s="334" t="s">
        <v>117</v>
      </c>
      <c r="H19" s="339"/>
      <c r="I19" s="339"/>
      <c r="J19" s="339"/>
      <c r="K19" s="333"/>
      <c r="L19" s="333"/>
      <c r="M19" s="333"/>
      <c r="N19" s="336"/>
      <c r="O19" s="328"/>
      <c r="P19" s="328"/>
      <c r="Q19" s="328"/>
      <c r="R19" s="328"/>
      <c r="S19" s="328"/>
      <c r="T19" s="328"/>
      <c r="U19" s="328"/>
      <c r="V19" s="328"/>
      <c r="W19" s="328"/>
      <c r="X19" s="328"/>
      <c r="Y19" s="328"/>
      <c r="Z19" s="328"/>
      <c r="AA19" s="328"/>
      <c r="AB19" s="328"/>
    </row>
    <row r="20" spans="1:28" x14ac:dyDescent="0.25">
      <c r="A20" s="328"/>
      <c r="B20" s="328"/>
      <c r="C20" s="332"/>
      <c r="D20" s="333"/>
      <c r="E20" s="333"/>
      <c r="F20" s="333"/>
      <c r="G20" s="334" t="s">
        <v>144</v>
      </c>
      <c r="H20" s="339"/>
      <c r="I20" s="339"/>
      <c r="J20" s="339"/>
      <c r="K20" s="333"/>
      <c r="L20" s="333"/>
      <c r="M20" s="333"/>
      <c r="N20" s="336"/>
      <c r="O20" s="328"/>
      <c r="P20" s="328"/>
      <c r="Q20" s="328"/>
      <c r="R20" s="328"/>
      <c r="S20" s="328"/>
      <c r="T20" s="328"/>
      <c r="U20" s="328"/>
      <c r="V20" s="328"/>
      <c r="W20" s="328"/>
      <c r="X20" s="328"/>
      <c r="Y20" s="328"/>
      <c r="Z20" s="328"/>
      <c r="AA20" s="328"/>
      <c r="AB20" s="328"/>
    </row>
    <row r="21" spans="1:28" x14ac:dyDescent="0.25">
      <c r="A21" s="328"/>
      <c r="B21" s="328"/>
      <c r="C21" s="332"/>
      <c r="D21" s="333"/>
      <c r="E21" s="333"/>
      <c r="F21" s="333"/>
      <c r="G21" s="333"/>
      <c r="H21" s="338"/>
      <c r="I21" s="338"/>
      <c r="J21" s="333"/>
      <c r="K21" s="333"/>
      <c r="L21" s="333"/>
      <c r="M21" s="333"/>
      <c r="N21" s="336"/>
      <c r="O21" s="328"/>
      <c r="P21" s="328"/>
      <c r="Q21" s="328"/>
      <c r="R21" s="328"/>
      <c r="S21" s="328"/>
      <c r="T21" s="328"/>
      <c r="U21" s="328"/>
      <c r="V21" s="328"/>
      <c r="W21" s="328"/>
      <c r="X21" s="328"/>
      <c r="Y21" s="328"/>
      <c r="Z21" s="328"/>
      <c r="AA21" s="328"/>
      <c r="AB21" s="328"/>
    </row>
    <row r="22" spans="1:28" x14ac:dyDescent="0.25">
      <c r="A22" s="328"/>
      <c r="B22" s="328"/>
      <c r="C22" s="332"/>
      <c r="D22" s="333"/>
      <c r="E22" s="333"/>
      <c r="F22" s="333"/>
      <c r="G22" s="333"/>
      <c r="H22" s="334" t="s">
        <v>41</v>
      </c>
      <c r="I22" s="335"/>
      <c r="J22" s="333"/>
      <c r="K22" s="333"/>
      <c r="L22" s="333"/>
      <c r="M22" s="333"/>
      <c r="N22" s="336"/>
      <c r="O22" s="328"/>
      <c r="P22" s="328"/>
      <c r="Q22" s="328"/>
      <c r="R22" s="328"/>
      <c r="S22" s="328"/>
      <c r="T22" s="328"/>
      <c r="U22" s="328"/>
      <c r="V22" s="328"/>
      <c r="W22" s="328"/>
      <c r="X22" s="328"/>
      <c r="Y22" s="328"/>
      <c r="Z22" s="328"/>
      <c r="AA22" s="328"/>
      <c r="AB22" s="328"/>
    </row>
    <row r="23" spans="1:28" x14ac:dyDescent="0.25">
      <c r="A23" s="328"/>
      <c r="B23" s="328"/>
      <c r="C23" s="332"/>
      <c r="D23" s="333"/>
      <c r="E23" s="333"/>
      <c r="F23" s="333"/>
      <c r="G23" s="333"/>
      <c r="H23" s="334" t="s">
        <v>116</v>
      </c>
      <c r="I23" s="335"/>
      <c r="J23" s="333"/>
      <c r="K23" s="333"/>
      <c r="L23" s="333"/>
      <c r="M23" s="333"/>
      <c r="N23" s="336"/>
      <c r="O23" s="328"/>
      <c r="P23" s="328"/>
      <c r="Q23" s="328"/>
      <c r="R23" s="328"/>
      <c r="S23" s="328"/>
      <c r="T23" s="328"/>
      <c r="U23" s="328"/>
      <c r="V23" s="328"/>
      <c r="W23" s="328"/>
      <c r="X23" s="328"/>
      <c r="Y23" s="328"/>
      <c r="Z23" s="328"/>
      <c r="AA23" s="328"/>
      <c r="AB23" s="328"/>
    </row>
    <row r="24" spans="1:28" ht="15.75" thickBot="1" x14ac:dyDescent="0.3">
      <c r="A24" s="328"/>
      <c r="B24" s="328"/>
      <c r="C24" s="340"/>
      <c r="D24" s="341"/>
      <c r="E24" s="341"/>
      <c r="F24" s="341"/>
      <c r="G24" s="341"/>
      <c r="H24" s="341"/>
      <c r="I24" s="341"/>
      <c r="J24" s="341"/>
      <c r="K24" s="341"/>
      <c r="L24" s="341"/>
      <c r="M24" s="341"/>
      <c r="N24" s="342"/>
      <c r="O24" s="328"/>
      <c r="P24" s="328"/>
      <c r="Q24" s="328"/>
      <c r="R24" s="328"/>
      <c r="S24" s="328"/>
      <c r="T24" s="328"/>
      <c r="U24" s="328"/>
      <c r="V24" s="328"/>
      <c r="W24" s="328"/>
      <c r="X24" s="328"/>
      <c r="Y24" s="328"/>
      <c r="Z24" s="328"/>
      <c r="AA24" s="328"/>
      <c r="AB24" s="328"/>
    </row>
    <row r="25" spans="1:28" ht="15.75" thickTop="1" x14ac:dyDescent="0.25">
      <c r="A25" s="328"/>
      <c r="B25" s="328"/>
      <c r="C25" s="328"/>
      <c r="D25" s="328"/>
      <c r="E25" s="328"/>
      <c r="F25" s="328"/>
      <c r="G25" s="328"/>
      <c r="H25" s="328"/>
      <c r="I25" s="328"/>
      <c r="J25" s="328"/>
      <c r="K25" s="328"/>
      <c r="L25" s="328"/>
      <c r="M25" s="328"/>
      <c r="N25" s="328"/>
      <c r="O25" s="328"/>
      <c r="P25" s="328"/>
      <c r="Q25" s="328"/>
      <c r="R25" s="328"/>
      <c r="S25" s="328"/>
      <c r="T25" s="328"/>
      <c r="U25" s="328"/>
      <c r="V25" s="328"/>
      <c r="W25" s="328"/>
      <c r="X25" s="328"/>
      <c r="Y25" s="328"/>
      <c r="Z25" s="328"/>
      <c r="AA25" s="328"/>
      <c r="AB25" s="328"/>
    </row>
  </sheetData>
  <mergeCells count="13">
    <mergeCell ref="H22:I22"/>
    <mergeCell ref="H23:I23"/>
    <mergeCell ref="G13:J13"/>
    <mergeCell ref="G18:J18"/>
    <mergeCell ref="G19:J19"/>
    <mergeCell ref="G20:J20"/>
    <mergeCell ref="D15:M16"/>
    <mergeCell ref="H12:I12"/>
    <mergeCell ref="E5:L5"/>
    <mergeCell ref="E6:L6"/>
    <mergeCell ref="H7:I7"/>
    <mergeCell ref="H9:I9"/>
    <mergeCell ref="G10:J10"/>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INGRESO_D">
                <anchor moveWithCells="1" sizeWithCells="1">
                  <from>
                    <xdr:col>3</xdr:col>
                    <xdr:colOff>314325</xdr:colOff>
                    <xdr:row>0</xdr:row>
                    <xdr:rowOff>114300</xdr:rowOff>
                  </from>
                  <to>
                    <xdr:col>5</xdr:col>
                    <xdr:colOff>0</xdr:colOff>
                    <xdr:row>0</xdr:row>
                    <xdr:rowOff>495300</xdr:rowOff>
                  </to>
                </anchor>
              </controlPr>
            </control>
          </mc:Choice>
        </mc:AlternateContent>
        <mc:AlternateContent xmlns:mc="http://schemas.openxmlformats.org/markup-compatibility/2006">
          <mc:Choice Requires="x14">
            <control shapeId="1028" r:id="rId5" name="Button 4">
              <controlPr defaultSize="0" print="0" autoFill="0" autoPict="0" macro="[0]!ESTADO_RE">
                <anchor moveWithCells="1" sizeWithCells="1">
                  <from>
                    <xdr:col>11</xdr:col>
                    <xdr:colOff>342900</xdr:colOff>
                    <xdr:row>0</xdr:row>
                    <xdr:rowOff>114300</xdr:rowOff>
                  </from>
                  <to>
                    <xdr:col>12</xdr:col>
                    <xdr:colOff>581025</xdr:colOff>
                    <xdr:row>0</xdr:row>
                    <xdr:rowOff>476250</xdr:rowOff>
                  </to>
                </anchor>
              </controlPr>
            </control>
          </mc:Choice>
        </mc:AlternateContent>
        <mc:AlternateContent xmlns:mc="http://schemas.openxmlformats.org/markup-compatibility/2006">
          <mc:Choice Requires="x14">
            <control shapeId="1029" r:id="rId6" name="Button 5">
              <controlPr defaultSize="0" print="0" autoFill="0" autoPict="0" macro="[0]!COSTO_PRO">
                <anchor moveWithCells="1" sizeWithCells="1">
                  <from>
                    <xdr:col>5</xdr:col>
                    <xdr:colOff>266700</xdr:colOff>
                    <xdr:row>0</xdr:row>
                    <xdr:rowOff>114300</xdr:rowOff>
                  </from>
                  <to>
                    <xdr:col>6</xdr:col>
                    <xdr:colOff>695325</xdr:colOff>
                    <xdr:row>0</xdr:row>
                    <xdr:rowOff>514350</xdr:rowOff>
                  </to>
                </anchor>
              </controlPr>
            </control>
          </mc:Choice>
        </mc:AlternateContent>
        <mc:AlternateContent xmlns:mc="http://schemas.openxmlformats.org/markup-compatibility/2006">
          <mc:Choice Requires="x14">
            <control shapeId="1030" r:id="rId7" name="Button 6">
              <controlPr defaultSize="0" print="0" autoFill="0" autoPict="0" macro="[0]!DEPRE">
                <anchor moveWithCells="1" sizeWithCells="1">
                  <from>
                    <xdr:col>7</xdr:col>
                    <xdr:colOff>200025</xdr:colOff>
                    <xdr:row>0</xdr:row>
                    <xdr:rowOff>114300</xdr:rowOff>
                  </from>
                  <to>
                    <xdr:col>8</xdr:col>
                    <xdr:colOff>638175</xdr:colOff>
                    <xdr:row>0</xdr:row>
                    <xdr:rowOff>485775</xdr:rowOff>
                  </to>
                </anchor>
              </controlPr>
            </control>
          </mc:Choice>
        </mc:AlternateContent>
        <mc:AlternateContent xmlns:mc="http://schemas.openxmlformats.org/markup-compatibility/2006">
          <mc:Choice Requires="x14">
            <control shapeId="1031" r:id="rId8" name="Button 7">
              <controlPr defaultSize="0" print="0" autoFill="0" autoPict="0" macro="[0]!GASTOS">
                <anchor moveWithCells="1" sizeWithCells="1">
                  <from>
                    <xdr:col>9</xdr:col>
                    <xdr:colOff>57150</xdr:colOff>
                    <xdr:row>0</xdr:row>
                    <xdr:rowOff>114300</xdr:rowOff>
                  </from>
                  <to>
                    <xdr:col>11</xdr:col>
                    <xdr:colOff>171450</xdr:colOff>
                    <xdr:row>0</xdr:row>
                    <xdr:rowOff>476250</xdr:rowOff>
                  </to>
                </anchor>
              </controlPr>
            </control>
          </mc:Choice>
        </mc:AlternateContent>
        <mc:AlternateContent xmlns:mc="http://schemas.openxmlformats.org/markup-compatibility/2006">
          <mc:Choice Requires="x14">
            <control shapeId="1032" r:id="rId9" name="Button 8">
              <controlPr defaultSize="0" print="0" autoFill="0" autoPict="0" macro="[0]!FLUJOS">
                <anchor moveWithCells="1" sizeWithCells="1">
                  <from>
                    <xdr:col>13</xdr:col>
                    <xdr:colOff>38100</xdr:colOff>
                    <xdr:row>0</xdr:row>
                    <xdr:rowOff>114300</xdr:rowOff>
                  </from>
                  <to>
                    <xdr:col>14</xdr:col>
                    <xdr:colOff>104775</xdr:colOff>
                    <xdr:row>0</xdr:row>
                    <xdr:rowOff>476250</xdr:rowOff>
                  </to>
                </anchor>
              </controlPr>
            </control>
          </mc:Choice>
        </mc:AlternateContent>
        <mc:AlternateContent xmlns:mc="http://schemas.openxmlformats.org/markup-compatibility/2006">
          <mc:Choice Requires="x14">
            <control shapeId="1033" r:id="rId10" name="Button 9">
              <controlPr defaultSize="0" print="0" autoFill="0" autoPict="0" macro="[0]!METODOS">
                <anchor moveWithCells="1" sizeWithCells="1">
                  <from>
                    <xdr:col>14</xdr:col>
                    <xdr:colOff>352425</xdr:colOff>
                    <xdr:row>0</xdr:row>
                    <xdr:rowOff>114300</xdr:rowOff>
                  </from>
                  <to>
                    <xdr:col>17</xdr:col>
                    <xdr:colOff>238125</xdr:colOff>
                    <xdr:row>0</xdr:row>
                    <xdr:rowOff>476250</xdr:rowOff>
                  </to>
                </anchor>
              </controlPr>
            </control>
          </mc:Choice>
        </mc:AlternateContent>
        <mc:AlternateContent xmlns:mc="http://schemas.openxmlformats.org/markup-compatibility/2006">
          <mc:Choice Requires="x14">
            <control shapeId="1036" r:id="rId11" name="Button 12">
              <controlPr defaultSize="0" print="0" autoFill="0" autoPict="0" macro="[0]!Informe">
                <anchor moveWithCells="1" sizeWithCells="1">
                  <from>
                    <xdr:col>17</xdr:col>
                    <xdr:colOff>514350</xdr:colOff>
                    <xdr:row>0</xdr:row>
                    <xdr:rowOff>114300</xdr:rowOff>
                  </from>
                  <to>
                    <xdr:col>18</xdr:col>
                    <xdr:colOff>619125</xdr:colOff>
                    <xdr:row>0</xdr:row>
                    <xdr:rowOff>485775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1"/>
  <dimension ref="A1:Y35"/>
  <sheetViews>
    <sheetView workbookViewId="0"/>
  </sheetViews>
  <sheetFormatPr baseColWidth="10" defaultRowHeight="15" x14ac:dyDescent="0.25"/>
  <cols>
    <col min="1" max="16384" width="11.42578125" style="328"/>
  </cols>
  <sheetData>
    <row r="1" spans="1:25" s="124" customFormat="1" ht="46.5" customHeight="1" thickBot="1" x14ac:dyDescent="0.3"/>
    <row r="2" spans="1:25" s="345" customFormat="1" ht="15.75" thickTop="1" x14ac:dyDescent="0.25">
      <c r="B2" s="344" t="s">
        <v>145</v>
      </c>
      <c r="C2" s="344"/>
      <c r="D2" s="344"/>
      <c r="E2" s="344"/>
      <c r="F2" s="344"/>
      <c r="G2" s="344"/>
      <c r="H2" s="344"/>
      <c r="I2" s="344"/>
      <c r="J2" s="344"/>
      <c r="K2" s="344"/>
      <c r="L2" s="344"/>
      <c r="M2" s="344"/>
      <c r="N2" s="344"/>
    </row>
    <row r="3" spans="1:25" s="345" customFormat="1" x14ac:dyDescent="0.25">
      <c r="B3" s="344"/>
      <c r="C3" s="344"/>
      <c r="D3" s="344"/>
      <c r="E3" s="344"/>
      <c r="F3" s="344"/>
      <c r="G3" s="344"/>
      <c r="H3" s="344"/>
      <c r="I3" s="344"/>
      <c r="J3" s="344"/>
      <c r="K3" s="344"/>
      <c r="L3" s="344"/>
      <c r="M3" s="344"/>
      <c r="N3" s="344"/>
    </row>
    <row r="4" spans="1:25" s="345" customFormat="1" x14ac:dyDescent="0.25">
      <c r="B4" s="344"/>
      <c r="C4" s="344"/>
      <c r="D4" s="344"/>
      <c r="E4" s="344"/>
      <c r="F4" s="344"/>
      <c r="G4" s="344"/>
      <c r="H4" s="344"/>
      <c r="I4" s="344"/>
      <c r="J4" s="344"/>
      <c r="K4" s="344"/>
      <c r="L4" s="344"/>
      <c r="M4" s="344"/>
      <c r="N4" s="344"/>
    </row>
    <row r="5" spans="1:25" x14ac:dyDescent="0.25">
      <c r="A5" s="346"/>
      <c r="B5" s="346"/>
      <c r="C5" s="346"/>
      <c r="D5" s="346"/>
      <c r="E5" s="346"/>
      <c r="F5" s="346"/>
      <c r="G5" s="346"/>
      <c r="H5" s="346"/>
      <c r="I5" s="346"/>
      <c r="J5" s="346"/>
      <c r="K5" s="346"/>
      <c r="L5" s="346"/>
      <c r="M5" s="346"/>
      <c r="N5" s="346"/>
      <c r="O5" s="346"/>
      <c r="P5" s="346"/>
      <c r="Q5" s="346"/>
      <c r="R5" s="346"/>
      <c r="S5" s="346"/>
      <c r="T5" s="346"/>
      <c r="U5" s="346"/>
      <c r="V5" s="346"/>
      <c r="W5" s="346"/>
      <c r="X5" s="346"/>
      <c r="Y5" s="346"/>
    </row>
    <row r="6" spans="1:25" x14ac:dyDescent="0.25">
      <c r="A6" s="346"/>
      <c r="B6" s="346"/>
      <c r="C6" s="346"/>
      <c r="D6" s="346"/>
      <c r="E6" s="346"/>
      <c r="F6" s="346"/>
      <c r="G6" s="346"/>
      <c r="H6" s="346"/>
      <c r="I6" s="346"/>
      <c r="J6" s="346"/>
      <c r="K6" s="346"/>
      <c r="L6" s="346"/>
      <c r="M6" s="346"/>
      <c r="N6" s="346"/>
      <c r="O6" s="346"/>
      <c r="P6" s="346"/>
      <c r="Q6" s="346"/>
      <c r="R6" s="346"/>
      <c r="S6" s="346"/>
      <c r="T6" s="346"/>
      <c r="U6" s="346"/>
      <c r="V6" s="346"/>
      <c r="W6" s="346"/>
      <c r="X6" s="346"/>
      <c r="Y6" s="346"/>
    </row>
    <row r="7" spans="1:25" x14ac:dyDescent="0.25">
      <c r="A7" s="346"/>
      <c r="B7" s="346"/>
      <c r="C7" s="346"/>
      <c r="D7" s="346"/>
      <c r="E7" s="346"/>
      <c r="F7" s="346"/>
      <c r="G7" s="346"/>
      <c r="H7" s="346"/>
      <c r="I7" s="346"/>
      <c r="J7" s="346"/>
      <c r="K7" s="346"/>
      <c r="L7" s="346"/>
      <c r="M7" s="346"/>
      <c r="N7" s="346"/>
      <c r="O7" s="346"/>
      <c r="P7" s="346"/>
      <c r="Q7" s="346"/>
      <c r="R7" s="346"/>
      <c r="S7" s="346"/>
      <c r="T7" s="346"/>
      <c r="U7" s="346"/>
      <c r="V7" s="346"/>
      <c r="W7" s="346"/>
      <c r="X7" s="346"/>
      <c r="Y7" s="346"/>
    </row>
    <row r="8" spans="1:25" x14ac:dyDescent="0.25">
      <c r="A8" s="346"/>
      <c r="B8" s="346"/>
      <c r="C8" s="346"/>
      <c r="D8" s="346"/>
      <c r="E8" s="346"/>
      <c r="F8" s="346"/>
      <c r="G8" s="346"/>
      <c r="H8" s="346"/>
      <c r="I8" s="346"/>
      <c r="J8" s="346"/>
      <c r="K8" s="346"/>
      <c r="L8" s="346"/>
      <c r="M8" s="346"/>
      <c r="N8" s="346"/>
      <c r="O8" s="346"/>
      <c r="P8" s="346"/>
      <c r="Q8" s="346"/>
      <c r="R8" s="346"/>
      <c r="S8" s="346"/>
      <c r="T8" s="346"/>
      <c r="U8" s="346"/>
      <c r="V8" s="346"/>
      <c r="W8" s="346"/>
      <c r="X8" s="346"/>
      <c r="Y8" s="346"/>
    </row>
    <row r="9" spans="1:25" x14ac:dyDescent="0.25">
      <c r="A9" s="346"/>
      <c r="B9" s="346"/>
      <c r="C9" s="346"/>
      <c r="D9" s="346"/>
      <c r="E9" s="346"/>
      <c r="F9" s="346"/>
      <c r="G9" s="346"/>
      <c r="H9" s="346"/>
      <c r="I9" s="346"/>
      <c r="J9" s="346"/>
      <c r="K9" s="346"/>
      <c r="L9" s="346"/>
      <c r="M9" s="346"/>
      <c r="N9" s="346"/>
      <c r="O9" s="346"/>
      <c r="P9" s="346"/>
      <c r="Q9" s="346"/>
      <c r="R9" s="346"/>
      <c r="S9" s="346"/>
      <c r="T9" s="346"/>
      <c r="U9" s="346"/>
      <c r="V9" s="346"/>
      <c r="W9" s="346"/>
      <c r="X9" s="346"/>
      <c r="Y9" s="346"/>
    </row>
    <row r="10" spans="1:25" x14ac:dyDescent="0.25">
      <c r="A10" s="346"/>
      <c r="B10" s="346"/>
      <c r="C10" s="346"/>
      <c r="D10" s="346"/>
      <c r="E10" s="346"/>
      <c r="F10" s="346"/>
      <c r="G10" s="346"/>
      <c r="H10" s="346"/>
      <c r="I10" s="346"/>
      <c r="J10" s="346"/>
      <c r="K10" s="346"/>
      <c r="L10" s="346"/>
      <c r="M10" s="346"/>
      <c r="N10" s="346"/>
      <c r="O10" s="346"/>
      <c r="P10" s="346"/>
      <c r="Q10" s="346"/>
      <c r="R10" s="346"/>
      <c r="S10" s="346"/>
      <c r="T10" s="346"/>
      <c r="U10" s="346"/>
      <c r="V10" s="346"/>
      <c r="W10" s="346"/>
      <c r="X10" s="346"/>
      <c r="Y10" s="346"/>
    </row>
    <row r="11" spans="1:25" x14ac:dyDescent="0.25">
      <c r="A11" s="346"/>
      <c r="B11" s="346"/>
      <c r="C11" s="346"/>
      <c r="D11" s="346"/>
      <c r="E11" s="346"/>
      <c r="F11" s="346"/>
      <c r="G11" s="346"/>
      <c r="H11" s="346"/>
      <c r="I11" s="346"/>
      <c r="J11" s="346"/>
      <c r="K11" s="346"/>
      <c r="L11" s="346"/>
      <c r="M11" s="346"/>
      <c r="N11" s="346"/>
      <c r="O11" s="346"/>
      <c r="P11" s="346"/>
      <c r="Q11" s="346"/>
      <c r="R11" s="346"/>
      <c r="S11" s="346"/>
      <c r="T11" s="346"/>
      <c r="U11" s="346"/>
      <c r="V11" s="346"/>
      <c r="W11" s="346"/>
      <c r="X11" s="346"/>
      <c r="Y11" s="346"/>
    </row>
    <row r="12" spans="1:25" x14ac:dyDescent="0.25">
      <c r="A12" s="346"/>
      <c r="B12" s="346"/>
      <c r="C12" s="346"/>
      <c r="D12" s="346"/>
      <c r="E12" s="346"/>
      <c r="F12" s="346"/>
      <c r="G12" s="346"/>
      <c r="H12" s="346"/>
      <c r="I12" s="346"/>
      <c r="J12" s="346"/>
      <c r="K12" s="346"/>
      <c r="L12" s="346"/>
      <c r="M12" s="346"/>
      <c r="N12" s="346"/>
      <c r="O12" s="346"/>
      <c r="P12" s="346"/>
      <c r="Q12" s="346"/>
      <c r="R12" s="346"/>
      <c r="S12" s="346"/>
      <c r="T12" s="346"/>
      <c r="U12" s="346"/>
      <c r="V12" s="346"/>
      <c r="W12" s="346"/>
      <c r="X12" s="346"/>
      <c r="Y12" s="346"/>
    </row>
    <row r="13" spans="1:25" x14ac:dyDescent="0.25">
      <c r="A13" s="346"/>
      <c r="B13" s="346"/>
      <c r="C13" s="346"/>
      <c r="D13" s="346"/>
      <c r="E13" s="346"/>
      <c r="F13" s="346"/>
      <c r="G13" s="346"/>
      <c r="H13" s="346"/>
      <c r="I13" s="346"/>
      <c r="J13" s="346"/>
      <c r="K13" s="346"/>
      <c r="L13" s="346"/>
      <c r="M13" s="346"/>
      <c r="N13" s="346"/>
      <c r="O13" s="346"/>
      <c r="P13" s="346"/>
      <c r="Q13" s="346"/>
      <c r="R13" s="346"/>
      <c r="S13" s="346"/>
      <c r="T13" s="346"/>
      <c r="U13" s="346"/>
      <c r="V13" s="346"/>
      <c r="W13" s="346"/>
      <c r="X13" s="346"/>
      <c r="Y13" s="346"/>
    </row>
    <row r="14" spans="1:25" x14ac:dyDescent="0.25">
      <c r="A14" s="346"/>
      <c r="B14" s="346"/>
      <c r="C14" s="346"/>
      <c r="D14" s="346"/>
      <c r="E14" s="346"/>
      <c r="F14" s="346"/>
      <c r="G14" s="346"/>
      <c r="H14" s="346"/>
      <c r="I14" s="346"/>
      <c r="J14" s="346"/>
      <c r="K14" s="346"/>
      <c r="L14" s="346"/>
      <c r="M14" s="346"/>
      <c r="N14" s="346"/>
      <c r="O14" s="346"/>
      <c r="P14" s="346"/>
      <c r="Q14" s="346"/>
      <c r="R14" s="346"/>
      <c r="S14" s="346"/>
      <c r="T14" s="346"/>
      <c r="U14" s="346"/>
      <c r="V14" s="346"/>
      <c r="W14" s="346"/>
      <c r="X14" s="346"/>
      <c r="Y14" s="346"/>
    </row>
    <row r="15" spans="1:25" x14ac:dyDescent="0.25">
      <c r="A15" s="346"/>
      <c r="B15" s="346"/>
      <c r="C15" s="346"/>
      <c r="D15" s="346"/>
      <c r="E15" s="346"/>
      <c r="F15" s="346"/>
      <c r="G15" s="346"/>
      <c r="H15" s="346"/>
      <c r="I15" s="346"/>
      <c r="J15" s="346"/>
      <c r="K15" s="346"/>
      <c r="L15" s="346"/>
      <c r="M15" s="346"/>
      <c r="N15" s="346"/>
      <c r="O15" s="346"/>
      <c r="P15" s="346"/>
      <c r="Q15" s="346"/>
      <c r="R15" s="346"/>
      <c r="S15" s="346"/>
      <c r="T15" s="346"/>
      <c r="U15" s="346"/>
      <c r="V15" s="346"/>
      <c r="W15" s="346"/>
      <c r="X15" s="346"/>
      <c r="Y15" s="346"/>
    </row>
    <row r="16" spans="1:25" x14ac:dyDescent="0.25">
      <c r="A16" s="346"/>
      <c r="B16" s="346"/>
      <c r="C16" s="346"/>
      <c r="D16" s="346"/>
      <c r="E16" s="346"/>
      <c r="F16" s="346"/>
      <c r="G16" s="346"/>
      <c r="H16" s="346"/>
      <c r="I16" s="346"/>
      <c r="J16" s="346"/>
      <c r="K16" s="346"/>
      <c r="L16" s="346"/>
      <c r="M16" s="346"/>
      <c r="N16" s="346"/>
      <c r="O16" s="346"/>
      <c r="P16" s="346"/>
      <c r="Q16" s="346"/>
      <c r="R16" s="346"/>
      <c r="S16" s="346"/>
      <c r="T16" s="346"/>
      <c r="U16" s="346"/>
      <c r="V16" s="346"/>
      <c r="W16" s="346"/>
      <c r="X16" s="346"/>
      <c r="Y16" s="346"/>
    </row>
    <row r="17" spans="1:25" x14ac:dyDescent="0.25">
      <c r="A17" s="346"/>
      <c r="B17" s="346"/>
      <c r="C17" s="346"/>
      <c r="D17" s="346"/>
      <c r="E17" s="346"/>
      <c r="F17" s="346"/>
      <c r="G17" s="346"/>
      <c r="H17" s="346"/>
      <c r="I17" s="346"/>
      <c r="J17" s="346"/>
      <c r="K17" s="346"/>
      <c r="L17" s="346"/>
      <c r="M17" s="346"/>
      <c r="N17" s="346"/>
      <c r="O17" s="346"/>
      <c r="P17" s="346"/>
      <c r="Q17" s="346"/>
      <c r="R17" s="346"/>
      <c r="S17" s="346"/>
      <c r="T17" s="346"/>
      <c r="U17" s="346"/>
      <c r="V17" s="346"/>
      <c r="W17" s="346"/>
      <c r="X17" s="346"/>
      <c r="Y17" s="346"/>
    </row>
    <row r="18" spans="1:25" x14ac:dyDescent="0.25">
      <c r="A18" s="346"/>
      <c r="B18" s="346"/>
      <c r="C18" s="346"/>
      <c r="D18" s="346"/>
      <c r="E18" s="346"/>
      <c r="F18" s="346"/>
      <c r="G18" s="346"/>
      <c r="H18" s="346"/>
      <c r="I18" s="346"/>
      <c r="J18" s="346"/>
      <c r="K18" s="346"/>
      <c r="L18" s="346"/>
      <c r="M18" s="346"/>
      <c r="N18" s="346"/>
      <c r="O18" s="346"/>
      <c r="P18" s="346"/>
      <c r="Q18" s="346"/>
      <c r="R18" s="346"/>
      <c r="S18" s="346"/>
      <c r="T18" s="346"/>
      <c r="U18" s="346"/>
      <c r="V18" s="346"/>
      <c r="W18" s="346"/>
      <c r="X18" s="346"/>
      <c r="Y18" s="346"/>
    </row>
    <row r="19" spans="1:25" x14ac:dyDescent="0.25">
      <c r="A19" s="346"/>
      <c r="B19" s="346"/>
      <c r="C19" s="346"/>
      <c r="D19" s="346"/>
      <c r="E19" s="346"/>
      <c r="F19" s="346"/>
      <c r="G19" s="346"/>
      <c r="H19" s="346"/>
      <c r="I19" s="346"/>
      <c r="J19" s="346"/>
      <c r="K19" s="346"/>
      <c r="L19" s="346"/>
      <c r="M19" s="346"/>
      <c r="N19" s="346"/>
      <c r="O19" s="346"/>
      <c r="P19" s="346"/>
      <c r="Q19" s="346"/>
      <c r="R19" s="346"/>
      <c r="S19" s="346"/>
      <c r="T19" s="346"/>
      <c r="U19" s="346"/>
      <c r="V19" s="346"/>
      <c r="W19" s="346"/>
      <c r="X19" s="346"/>
      <c r="Y19" s="346"/>
    </row>
    <row r="20" spans="1:25" x14ac:dyDescent="0.25">
      <c r="A20" s="346"/>
      <c r="B20" s="346"/>
      <c r="C20" s="346"/>
      <c r="D20" s="346"/>
      <c r="E20" s="346"/>
      <c r="F20" s="346"/>
      <c r="G20" s="346"/>
      <c r="H20" s="346"/>
      <c r="I20" s="346"/>
      <c r="J20" s="346"/>
      <c r="K20" s="346"/>
      <c r="L20" s="346"/>
      <c r="M20" s="346"/>
      <c r="N20" s="346"/>
      <c r="O20" s="346"/>
      <c r="P20" s="346"/>
      <c r="Q20" s="346"/>
      <c r="R20" s="346"/>
      <c r="S20" s="346"/>
      <c r="T20" s="346"/>
      <c r="U20" s="346"/>
      <c r="V20" s="346"/>
      <c r="W20" s="346"/>
      <c r="X20" s="346"/>
      <c r="Y20" s="346"/>
    </row>
    <row r="21" spans="1:25" x14ac:dyDescent="0.25">
      <c r="A21" s="346"/>
      <c r="B21" s="346"/>
      <c r="C21" s="346"/>
      <c r="D21" s="346"/>
      <c r="E21" s="346"/>
      <c r="F21" s="346"/>
      <c r="G21" s="346"/>
      <c r="H21" s="346"/>
      <c r="I21" s="346"/>
      <c r="J21" s="346"/>
      <c r="K21" s="346"/>
      <c r="L21" s="346"/>
      <c r="M21" s="346"/>
      <c r="N21" s="346"/>
      <c r="O21" s="346"/>
      <c r="P21" s="346"/>
      <c r="Q21" s="346"/>
      <c r="R21" s="346"/>
      <c r="S21" s="346"/>
      <c r="T21" s="346"/>
      <c r="U21" s="346"/>
      <c r="V21" s="346"/>
      <c r="W21" s="346"/>
      <c r="X21" s="346"/>
      <c r="Y21" s="346"/>
    </row>
    <row r="22" spans="1:25" x14ac:dyDescent="0.25">
      <c r="A22" s="346"/>
      <c r="B22" s="346"/>
      <c r="C22" s="346"/>
      <c r="D22" s="346"/>
      <c r="E22" s="346"/>
      <c r="F22" s="346"/>
      <c r="G22" s="346"/>
      <c r="H22" s="346"/>
      <c r="I22" s="346"/>
      <c r="J22" s="346"/>
      <c r="K22" s="346"/>
      <c r="L22" s="346"/>
      <c r="M22" s="346"/>
      <c r="N22" s="346"/>
      <c r="O22" s="346"/>
      <c r="P22" s="346"/>
      <c r="Q22" s="346"/>
      <c r="R22" s="346"/>
      <c r="S22" s="346"/>
      <c r="T22" s="346"/>
      <c r="U22" s="346"/>
      <c r="V22" s="346"/>
      <c r="W22" s="346"/>
      <c r="X22" s="346"/>
      <c r="Y22" s="346"/>
    </row>
    <row r="23" spans="1:25" x14ac:dyDescent="0.25">
      <c r="A23" s="346"/>
      <c r="B23" s="346"/>
      <c r="C23" s="346"/>
      <c r="D23" s="346"/>
      <c r="E23" s="346"/>
      <c r="F23" s="346"/>
      <c r="G23" s="346"/>
      <c r="H23" s="346"/>
      <c r="I23" s="346"/>
      <c r="J23" s="346"/>
      <c r="K23" s="346"/>
      <c r="L23" s="346"/>
      <c r="M23" s="346"/>
      <c r="N23" s="346"/>
      <c r="O23" s="346"/>
      <c r="P23" s="346"/>
      <c r="Q23" s="346"/>
      <c r="R23" s="346"/>
      <c r="S23" s="346"/>
      <c r="T23" s="346"/>
      <c r="U23" s="346"/>
      <c r="V23" s="346"/>
      <c r="W23" s="346"/>
      <c r="X23" s="346"/>
      <c r="Y23" s="346"/>
    </row>
    <row r="24" spans="1:25" x14ac:dyDescent="0.25">
      <c r="A24" s="346"/>
      <c r="B24" s="346"/>
      <c r="C24" s="346"/>
      <c r="D24" s="346"/>
      <c r="E24" s="346"/>
      <c r="F24" s="346"/>
      <c r="G24" s="346"/>
      <c r="H24" s="346"/>
      <c r="I24" s="346"/>
      <c r="J24" s="346"/>
      <c r="K24" s="346"/>
      <c r="L24" s="346"/>
      <c r="M24" s="346"/>
      <c r="N24" s="346"/>
      <c r="O24" s="346"/>
      <c r="P24" s="346"/>
      <c r="Q24" s="346"/>
      <c r="R24" s="346"/>
      <c r="S24" s="346"/>
      <c r="T24" s="346"/>
      <c r="U24" s="346"/>
      <c r="V24" s="346"/>
      <c r="W24" s="346"/>
      <c r="X24" s="346"/>
      <c r="Y24" s="346"/>
    </row>
    <row r="25" spans="1:25" x14ac:dyDescent="0.25">
      <c r="A25" s="346"/>
      <c r="B25" s="346"/>
      <c r="C25" s="346"/>
      <c r="D25" s="346"/>
      <c r="E25" s="346"/>
      <c r="F25" s="346"/>
      <c r="G25" s="346"/>
      <c r="H25" s="346"/>
      <c r="I25" s="346"/>
      <c r="J25" s="346"/>
      <c r="K25" s="346"/>
      <c r="L25" s="346"/>
      <c r="M25" s="346"/>
      <c r="N25" s="346"/>
      <c r="O25" s="346"/>
      <c r="P25" s="346"/>
      <c r="Q25" s="346"/>
      <c r="R25" s="346"/>
      <c r="S25" s="346"/>
      <c r="T25" s="346"/>
      <c r="U25" s="346"/>
      <c r="V25" s="346"/>
      <c r="W25" s="346"/>
      <c r="X25" s="346"/>
      <c r="Y25" s="346"/>
    </row>
    <row r="26" spans="1:25" x14ac:dyDescent="0.25">
      <c r="A26" s="346"/>
      <c r="B26" s="346"/>
      <c r="C26" s="346"/>
      <c r="D26" s="346"/>
      <c r="E26" s="346"/>
      <c r="F26" s="346"/>
      <c r="G26" s="346"/>
      <c r="H26" s="346"/>
      <c r="I26" s="346"/>
      <c r="J26" s="346"/>
      <c r="K26" s="346"/>
      <c r="L26" s="346"/>
      <c r="M26" s="346"/>
      <c r="N26" s="346"/>
      <c r="O26" s="346"/>
      <c r="P26" s="346"/>
      <c r="Q26" s="346"/>
      <c r="R26" s="346"/>
      <c r="S26" s="346"/>
      <c r="T26" s="346"/>
      <c r="U26" s="346"/>
      <c r="V26" s="346"/>
      <c r="W26" s="346"/>
      <c r="X26" s="346"/>
      <c r="Y26" s="346"/>
    </row>
    <row r="27" spans="1:25" x14ac:dyDescent="0.25">
      <c r="A27" s="346"/>
      <c r="B27" s="346"/>
      <c r="C27" s="346"/>
      <c r="D27" s="346"/>
      <c r="E27" s="346"/>
      <c r="F27" s="346"/>
      <c r="G27" s="346"/>
      <c r="H27" s="346"/>
      <c r="I27" s="346"/>
      <c r="J27" s="346"/>
      <c r="K27" s="346"/>
      <c r="L27" s="346"/>
      <c r="M27" s="346"/>
      <c r="N27" s="346"/>
      <c r="O27" s="346"/>
      <c r="P27" s="346"/>
      <c r="Q27" s="346"/>
      <c r="R27" s="346"/>
      <c r="S27" s="346"/>
      <c r="T27" s="346"/>
      <c r="U27" s="346"/>
      <c r="V27" s="346"/>
      <c r="W27" s="346"/>
      <c r="X27" s="346"/>
      <c r="Y27" s="346"/>
    </row>
    <row r="28" spans="1:25" x14ac:dyDescent="0.25">
      <c r="A28" s="346"/>
      <c r="B28" s="346"/>
      <c r="C28" s="346"/>
      <c r="D28" s="346"/>
      <c r="E28" s="346"/>
      <c r="F28" s="346"/>
      <c r="G28" s="346"/>
      <c r="H28" s="346"/>
      <c r="I28" s="346"/>
      <c r="J28" s="346"/>
      <c r="K28" s="346"/>
      <c r="L28" s="346"/>
      <c r="M28" s="346"/>
      <c r="N28" s="346"/>
      <c r="O28" s="346"/>
      <c r="P28" s="346"/>
      <c r="Q28" s="346"/>
      <c r="R28" s="346"/>
      <c r="S28" s="346"/>
      <c r="T28" s="346"/>
      <c r="U28" s="346"/>
      <c r="V28" s="346"/>
      <c r="W28" s="346"/>
      <c r="X28" s="346"/>
      <c r="Y28" s="346"/>
    </row>
    <row r="29" spans="1:25" x14ac:dyDescent="0.25">
      <c r="A29" s="346"/>
      <c r="B29" s="346"/>
      <c r="C29" s="346"/>
      <c r="D29" s="346"/>
      <c r="E29" s="346"/>
      <c r="F29" s="346"/>
      <c r="G29" s="346"/>
      <c r="H29" s="346"/>
      <c r="I29" s="346"/>
      <c r="J29" s="346"/>
      <c r="K29" s="346"/>
      <c r="L29" s="346"/>
      <c r="M29" s="346"/>
      <c r="N29" s="346"/>
      <c r="O29" s="346"/>
      <c r="P29" s="346"/>
      <c r="Q29" s="346"/>
      <c r="R29" s="346"/>
      <c r="S29" s="346"/>
      <c r="T29" s="346"/>
      <c r="U29" s="346"/>
      <c r="V29" s="346"/>
      <c r="W29" s="346"/>
      <c r="X29" s="346"/>
      <c r="Y29" s="346"/>
    </row>
    <row r="30" spans="1:25" x14ac:dyDescent="0.25">
      <c r="A30" s="346"/>
      <c r="B30" s="346"/>
      <c r="C30" s="346"/>
      <c r="D30" s="346"/>
      <c r="E30" s="346"/>
      <c r="F30" s="346"/>
      <c r="G30" s="346"/>
      <c r="H30" s="346"/>
      <c r="I30" s="346"/>
      <c r="J30" s="346"/>
      <c r="K30" s="346"/>
      <c r="L30" s="346"/>
      <c r="M30" s="346"/>
      <c r="N30" s="346"/>
      <c r="O30" s="346"/>
      <c r="P30" s="346"/>
      <c r="Q30" s="346"/>
      <c r="R30" s="346"/>
      <c r="S30" s="346"/>
      <c r="T30" s="346"/>
      <c r="U30" s="346"/>
      <c r="V30" s="346"/>
      <c r="W30" s="346"/>
      <c r="X30" s="346"/>
      <c r="Y30" s="346"/>
    </row>
    <row r="31" spans="1:25" x14ac:dyDescent="0.25">
      <c r="A31" s="346"/>
      <c r="B31" s="346"/>
      <c r="C31" s="346"/>
      <c r="D31" s="346"/>
      <c r="E31" s="346"/>
      <c r="F31" s="346"/>
      <c r="G31" s="346"/>
      <c r="H31" s="346"/>
      <c r="I31" s="346"/>
      <c r="J31" s="346"/>
      <c r="K31" s="346"/>
      <c r="L31" s="346"/>
      <c r="M31" s="346"/>
      <c r="N31" s="346"/>
      <c r="O31" s="346"/>
      <c r="P31" s="346"/>
      <c r="Q31" s="346"/>
      <c r="R31" s="346"/>
      <c r="S31" s="346"/>
      <c r="T31" s="346"/>
      <c r="U31" s="346"/>
      <c r="V31" s="346"/>
      <c r="W31" s="346"/>
      <c r="X31" s="346"/>
      <c r="Y31" s="346"/>
    </row>
    <row r="32" spans="1:25" x14ac:dyDescent="0.25">
      <c r="A32" s="346"/>
      <c r="B32" s="346"/>
      <c r="C32" s="346"/>
      <c r="D32" s="346"/>
      <c r="E32" s="346"/>
      <c r="F32" s="346"/>
      <c r="G32" s="346"/>
      <c r="H32" s="346"/>
      <c r="I32" s="346"/>
      <c r="J32" s="346"/>
      <c r="K32" s="346"/>
      <c r="L32" s="346"/>
      <c r="M32" s="346"/>
      <c r="N32" s="346"/>
      <c r="O32" s="346"/>
      <c r="P32" s="346"/>
      <c r="Q32" s="346"/>
      <c r="R32" s="346"/>
      <c r="S32" s="346"/>
      <c r="T32" s="346"/>
      <c r="U32" s="346"/>
      <c r="V32" s="346"/>
      <c r="W32" s="346"/>
      <c r="X32" s="346"/>
      <c r="Y32" s="346"/>
    </row>
    <row r="33" spans="1:25" x14ac:dyDescent="0.25">
      <c r="A33" s="346"/>
      <c r="B33" s="346"/>
      <c r="C33" s="346"/>
      <c r="D33" s="346"/>
      <c r="E33" s="346"/>
      <c r="F33" s="346"/>
      <c r="G33" s="346"/>
      <c r="H33" s="346"/>
      <c r="I33" s="346"/>
      <c r="J33" s="346"/>
      <c r="K33" s="346"/>
      <c r="L33" s="346"/>
      <c r="M33" s="346"/>
      <c r="N33" s="346"/>
      <c r="O33" s="346"/>
      <c r="P33" s="346"/>
      <c r="Q33" s="346"/>
      <c r="R33" s="346"/>
      <c r="S33" s="346"/>
      <c r="T33" s="346"/>
      <c r="U33" s="346"/>
      <c r="V33" s="346"/>
      <c r="W33" s="346"/>
      <c r="X33" s="346"/>
      <c r="Y33" s="346"/>
    </row>
    <row r="34" spans="1:25" x14ac:dyDescent="0.25">
      <c r="A34" s="346"/>
      <c r="B34" s="346"/>
      <c r="C34" s="346"/>
      <c r="D34" s="346"/>
      <c r="E34" s="346"/>
      <c r="F34" s="346"/>
      <c r="G34" s="346"/>
      <c r="H34" s="346"/>
      <c r="I34" s="346"/>
      <c r="J34" s="346"/>
      <c r="K34" s="346"/>
      <c r="L34" s="346"/>
      <c r="M34" s="346"/>
      <c r="N34" s="346"/>
      <c r="O34" s="346"/>
      <c r="P34" s="346"/>
      <c r="Q34" s="346"/>
      <c r="R34" s="346"/>
      <c r="S34" s="346"/>
      <c r="T34" s="346"/>
      <c r="U34" s="346"/>
      <c r="V34" s="346"/>
      <c r="W34" s="346"/>
      <c r="X34" s="346"/>
      <c r="Y34" s="346"/>
    </row>
    <row r="35" spans="1:25" x14ac:dyDescent="0.25">
      <c r="A35" s="346"/>
      <c r="B35" s="346"/>
      <c r="C35" s="346"/>
      <c r="D35" s="346"/>
      <c r="E35" s="346"/>
      <c r="F35" s="346"/>
      <c r="G35" s="346"/>
      <c r="H35" s="346"/>
      <c r="I35" s="346"/>
      <c r="J35" s="346"/>
      <c r="K35" s="346"/>
      <c r="L35" s="346"/>
      <c r="M35" s="346"/>
      <c r="N35" s="346"/>
      <c r="O35" s="346"/>
      <c r="P35" s="346"/>
      <c r="Q35" s="346"/>
      <c r="R35" s="346"/>
      <c r="S35" s="346"/>
      <c r="T35" s="346"/>
      <c r="U35" s="346"/>
      <c r="V35" s="346"/>
      <c r="W35" s="346"/>
      <c r="X35" s="346"/>
      <c r="Y35" s="346"/>
    </row>
  </sheetData>
  <mergeCells count="1">
    <mergeCell ref="B2:N4"/>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INGRESO_D">
                <anchor moveWithCells="1" sizeWithCells="1">
                  <from>
                    <xdr:col>2</xdr:col>
                    <xdr:colOff>247650</xdr:colOff>
                    <xdr:row>0</xdr:row>
                    <xdr:rowOff>114300</xdr:rowOff>
                  </from>
                  <to>
                    <xdr:col>4</xdr:col>
                    <xdr:colOff>38100</xdr:colOff>
                    <xdr:row>0</xdr:row>
                    <xdr:rowOff>476250</xdr:rowOff>
                  </to>
                </anchor>
              </controlPr>
            </control>
          </mc:Choice>
        </mc:AlternateContent>
        <mc:AlternateContent xmlns:mc="http://schemas.openxmlformats.org/markup-compatibility/2006">
          <mc:Choice Requires="x14">
            <control shapeId="13314" r:id="rId4" name="Button 2">
              <controlPr defaultSize="0" print="0" autoFill="0" autoPict="0" macro="[0]!ESTADO_RE">
                <anchor moveWithCells="1" sizeWithCells="1">
                  <from>
                    <xdr:col>11</xdr:col>
                    <xdr:colOff>342900</xdr:colOff>
                    <xdr:row>0</xdr:row>
                    <xdr:rowOff>114300</xdr:rowOff>
                  </from>
                  <to>
                    <xdr:col>12</xdr:col>
                    <xdr:colOff>581025</xdr:colOff>
                    <xdr:row>1</xdr:row>
                    <xdr:rowOff>476250</xdr:rowOff>
                  </to>
                </anchor>
              </controlPr>
            </control>
          </mc:Choice>
        </mc:AlternateContent>
        <mc:AlternateContent xmlns:mc="http://schemas.openxmlformats.org/markup-compatibility/2006">
          <mc:Choice Requires="x14">
            <control shapeId="13315" r:id="rId5" name="Button 3">
              <controlPr defaultSize="0" print="0" autoFill="0" autoPict="0" macro="[0]!COSTO_PRO">
                <anchor moveWithCells="1" sizeWithCells="1">
                  <from>
                    <xdr:col>4</xdr:col>
                    <xdr:colOff>238125</xdr:colOff>
                    <xdr:row>0</xdr:row>
                    <xdr:rowOff>114300</xdr:rowOff>
                  </from>
                  <to>
                    <xdr:col>6</xdr:col>
                    <xdr:colOff>352425</xdr:colOff>
                    <xdr:row>1</xdr:row>
                    <xdr:rowOff>476250</xdr:rowOff>
                  </to>
                </anchor>
              </controlPr>
            </control>
          </mc:Choice>
        </mc:AlternateContent>
        <mc:AlternateContent xmlns:mc="http://schemas.openxmlformats.org/markup-compatibility/2006">
          <mc:Choice Requires="x14">
            <control shapeId="13316" r:id="rId6" name="Button 4">
              <controlPr defaultSize="0" print="0" autoFill="0" autoPict="0" macro="[0]!DEPRE">
                <anchor moveWithCells="1" sizeWithCells="1">
                  <from>
                    <xdr:col>6</xdr:col>
                    <xdr:colOff>523875</xdr:colOff>
                    <xdr:row>0</xdr:row>
                    <xdr:rowOff>114300</xdr:rowOff>
                  </from>
                  <to>
                    <xdr:col>8</xdr:col>
                    <xdr:colOff>638175</xdr:colOff>
                    <xdr:row>1</xdr:row>
                    <xdr:rowOff>476250</xdr:rowOff>
                  </to>
                </anchor>
              </controlPr>
            </control>
          </mc:Choice>
        </mc:AlternateContent>
        <mc:AlternateContent xmlns:mc="http://schemas.openxmlformats.org/markup-compatibility/2006">
          <mc:Choice Requires="x14">
            <control shapeId="13317" r:id="rId7" name="Button 5">
              <controlPr defaultSize="0" print="0" autoFill="0" autoPict="0" macro="[0]!GASTOS">
                <anchor moveWithCells="1" sizeWithCells="1">
                  <from>
                    <xdr:col>9</xdr:col>
                    <xdr:colOff>57150</xdr:colOff>
                    <xdr:row>0</xdr:row>
                    <xdr:rowOff>114300</xdr:rowOff>
                  </from>
                  <to>
                    <xdr:col>11</xdr:col>
                    <xdr:colOff>171450</xdr:colOff>
                    <xdr:row>1</xdr:row>
                    <xdr:rowOff>476250</xdr:rowOff>
                  </to>
                </anchor>
              </controlPr>
            </control>
          </mc:Choice>
        </mc:AlternateContent>
        <mc:AlternateContent xmlns:mc="http://schemas.openxmlformats.org/markup-compatibility/2006">
          <mc:Choice Requires="x14">
            <control shapeId="13318" r:id="rId8" name="Button 6">
              <controlPr defaultSize="0" print="0" autoFill="0" autoPict="0" macro="[0]!FLUJOS">
                <anchor moveWithCells="1" sizeWithCells="1">
                  <from>
                    <xdr:col>13</xdr:col>
                    <xdr:colOff>38100</xdr:colOff>
                    <xdr:row>0</xdr:row>
                    <xdr:rowOff>114300</xdr:rowOff>
                  </from>
                  <to>
                    <xdr:col>14</xdr:col>
                    <xdr:colOff>104775</xdr:colOff>
                    <xdr:row>1</xdr:row>
                    <xdr:rowOff>476250</xdr:rowOff>
                  </to>
                </anchor>
              </controlPr>
            </control>
          </mc:Choice>
        </mc:AlternateContent>
        <mc:AlternateContent xmlns:mc="http://schemas.openxmlformats.org/markup-compatibility/2006">
          <mc:Choice Requires="x14">
            <control shapeId="13319" r:id="rId9" name="Button 7">
              <controlPr defaultSize="0" print="0" autoFill="0" autoPict="0" macro="[0]!METODOS">
                <anchor moveWithCells="1" sizeWithCells="1">
                  <from>
                    <xdr:col>14</xdr:col>
                    <xdr:colOff>352425</xdr:colOff>
                    <xdr:row>0</xdr:row>
                    <xdr:rowOff>114300</xdr:rowOff>
                  </from>
                  <to>
                    <xdr:col>17</xdr:col>
                    <xdr:colOff>238125</xdr:colOff>
                    <xdr:row>1</xdr:row>
                    <xdr:rowOff>476250</xdr:rowOff>
                  </to>
                </anchor>
              </controlPr>
            </control>
          </mc:Choice>
        </mc:AlternateContent>
        <mc:AlternateContent xmlns:mc="http://schemas.openxmlformats.org/markup-compatibility/2006">
          <mc:Choice Requires="x14">
            <control shapeId="13320" r:id="rId10" name="Button 8">
              <controlPr defaultSize="0" print="0" autoFill="0" autoPict="0" macro="[0]!PORTADA">
                <anchor moveWithCells="1" sizeWithCells="1">
                  <from>
                    <xdr:col>0</xdr:col>
                    <xdr:colOff>95250</xdr:colOff>
                    <xdr:row>0</xdr:row>
                    <xdr:rowOff>114300</xdr:rowOff>
                  </from>
                  <to>
                    <xdr:col>1</xdr:col>
                    <xdr:colOff>76200</xdr:colOff>
                    <xdr:row>0</xdr:row>
                    <xdr:rowOff>428625</xdr:rowOff>
                  </to>
                </anchor>
              </controlPr>
            </control>
          </mc:Choice>
        </mc:AlternateContent>
        <mc:AlternateContent xmlns:mc="http://schemas.openxmlformats.org/markup-compatibility/2006">
          <mc:Choice Requires="x14">
            <control shapeId="13321" r:id="rId11" name="Button 9">
              <controlPr defaultSize="0" print="0" autoFill="0" autoPict="0" macro="[0]!Informe">
                <anchor moveWithCells="1" sizeWithCells="1">
                  <from>
                    <xdr:col>17</xdr:col>
                    <xdr:colOff>514350</xdr:colOff>
                    <xdr:row>0</xdr:row>
                    <xdr:rowOff>114300</xdr:rowOff>
                  </from>
                  <to>
                    <xdr:col>18</xdr:col>
                    <xdr:colOff>619125</xdr:colOff>
                    <xdr:row>1</xdr:row>
                    <xdr:rowOff>485775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2"/>
  <dimension ref="A1:Q21"/>
  <sheetViews>
    <sheetView workbookViewId="0"/>
  </sheetViews>
  <sheetFormatPr baseColWidth="10" defaultRowHeight="15" x14ac:dyDescent="0.25"/>
  <cols>
    <col min="1" max="16384" width="11.42578125" style="328"/>
  </cols>
  <sheetData>
    <row r="1" spans="1:17" s="124" customFormat="1" ht="46.5" customHeight="1" thickBot="1" x14ac:dyDescent="0.3"/>
    <row r="2" spans="1:17" ht="15.75" thickTop="1" x14ac:dyDescent="0.25">
      <c r="A2" s="347"/>
      <c r="B2" s="347"/>
      <c r="C2" s="347"/>
      <c r="D2" s="347"/>
      <c r="E2" s="347"/>
      <c r="F2" s="347"/>
      <c r="G2" s="347"/>
      <c r="H2" s="347"/>
      <c r="I2" s="347"/>
      <c r="J2" s="347"/>
      <c r="K2" s="347"/>
      <c r="L2" s="347"/>
      <c r="M2" s="347"/>
      <c r="N2" s="347"/>
      <c r="O2" s="347"/>
      <c r="P2" s="347"/>
      <c r="Q2" s="347"/>
    </row>
    <row r="3" spans="1:17" x14ac:dyDescent="0.25">
      <c r="A3" s="347"/>
      <c r="B3" s="347"/>
      <c r="C3" s="347"/>
      <c r="D3" s="347"/>
      <c r="E3" s="347"/>
      <c r="F3" s="347"/>
      <c r="G3" s="348" t="s">
        <v>147</v>
      </c>
      <c r="H3" s="348"/>
      <c r="I3" s="348"/>
      <c r="J3" s="348"/>
      <c r="K3" s="348"/>
      <c r="L3" s="348"/>
      <c r="M3" s="348"/>
      <c r="N3" s="347"/>
      <c r="O3" s="347"/>
      <c r="P3" s="347"/>
      <c r="Q3" s="347"/>
    </row>
    <row r="4" spans="1:17" x14ac:dyDescent="0.25">
      <c r="A4" s="347"/>
      <c r="B4" s="347"/>
      <c r="C4" s="347"/>
      <c r="D4" s="347"/>
      <c r="E4" s="347"/>
      <c r="F4" s="347"/>
      <c r="G4" s="348"/>
      <c r="H4" s="348"/>
      <c r="I4" s="348"/>
      <c r="J4" s="348"/>
      <c r="K4" s="348"/>
      <c r="L4" s="348"/>
      <c r="M4" s="348"/>
      <c r="N4" s="347"/>
      <c r="O4" s="347"/>
      <c r="P4" s="347"/>
      <c r="Q4" s="347"/>
    </row>
    <row r="5" spans="1:17" x14ac:dyDescent="0.25">
      <c r="A5" s="347"/>
      <c r="B5" s="347"/>
      <c r="C5" s="347"/>
      <c r="D5" s="347"/>
      <c r="E5" s="347"/>
      <c r="F5" s="347"/>
      <c r="G5" s="347"/>
      <c r="H5" s="347"/>
      <c r="I5" s="347"/>
      <c r="J5" s="347"/>
      <c r="K5" s="347"/>
      <c r="L5" s="347"/>
      <c r="M5" s="347"/>
      <c r="N5" s="347"/>
      <c r="O5" s="347"/>
      <c r="P5" s="347"/>
      <c r="Q5" s="347"/>
    </row>
    <row r="6" spans="1:17" x14ac:dyDescent="0.25">
      <c r="A6" s="347"/>
      <c r="B6" s="347"/>
      <c r="C6" s="347"/>
      <c r="D6" s="347"/>
      <c r="E6" s="347"/>
      <c r="F6" s="347"/>
      <c r="G6" s="347"/>
      <c r="H6" s="347"/>
      <c r="I6" s="347"/>
      <c r="J6" s="347"/>
      <c r="K6" s="347"/>
      <c r="L6" s="347"/>
      <c r="M6" s="347"/>
      <c r="N6" s="347"/>
      <c r="O6" s="347"/>
      <c r="P6" s="347"/>
      <c r="Q6" s="347"/>
    </row>
    <row r="7" spans="1:17" x14ac:dyDescent="0.25">
      <c r="A7" s="347"/>
      <c r="B7" s="347"/>
      <c r="C7" s="347"/>
      <c r="D7" s="347"/>
      <c r="E7" s="347"/>
      <c r="F7" s="349" t="s">
        <v>146</v>
      </c>
      <c r="G7" s="349"/>
      <c r="H7" s="349"/>
      <c r="I7" s="349"/>
      <c r="J7" s="349"/>
      <c r="K7" s="349"/>
      <c r="L7" s="349"/>
      <c r="M7" s="349"/>
      <c r="N7" s="349"/>
      <c r="O7" s="347"/>
      <c r="P7" s="347"/>
      <c r="Q7" s="347"/>
    </row>
    <row r="8" spans="1:17" x14ac:dyDescent="0.25">
      <c r="A8" s="347"/>
      <c r="B8" s="347"/>
      <c r="C8" s="347"/>
      <c r="D8" s="347"/>
      <c r="E8" s="347"/>
      <c r="F8" s="349"/>
      <c r="G8" s="349"/>
      <c r="H8" s="349"/>
      <c r="I8" s="349"/>
      <c r="J8" s="349"/>
      <c r="K8" s="349"/>
      <c r="L8" s="349"/>
      <c r="M8" s="349"/>
      <c r="N8" s="349"/>
      <c r="O8" s="347"/>
      <c r="P8" s="347"/>
      <c r="Q8" s="347"/>
    </row>
    <row r="9" spans="1:17" x14ac:dyDescent="0.25">
      <c r="A9" s="347"/>
      <c r="B9" s="347"/>
      <c r="C9" s="347"/>
      <c r="D9" s="347"/>
      <c r="E9" s="347"/>
      <c r="F9" s="349"/>
      <c r="G9" s="349"/>
      <c r="H9" s="349"/>
      <c r="I9" s="349"/>
      <c r="J9" s="349"/>
      <c r="K9" s="349"/>
      <c r="L9" s="349"/>
      <c r="M9" s="349"/>
      <c r="N9" s="349"/>
      <c r="O9" s="347"/>
      <c r="P9" s="347"/>
      <c r="Q9" s="347"/>
    </row>
    <row r="10" spans="1:17" x14ac:dyDescent="0.25">
      <c r="A10" s="347"/>
      <c r="B10" s="347"/>
      <c r="C10" s="347"/>
      <c r="D10" s="347"/>
      <c r="E10" s="347"/>
      <c r="F10" s="349"/>
      <c r="G10" s="349"/>
      <c r="H10" s="349"/>
      <c r="I10" s="349"/>
      <c r="J10" s="349"/>
      <c r="K10" s="349"/>
      <c r="L10" s="349"/>
      <c r="M10" s="349"/>
      <c r="N10" s="349"/>
      <c r="O10" s="347"/>
      <c r="P10" s="347"/>
      <c r="Q10" s="347"/>
    </row>
    <row r="11" spans="1:17" x14ac:dyDescent="0.25">
      <c r="A11" s="347"/>
      <c r="B11" s="347"/>
      <c r="C11" s="347"/>
      <c r="D11" s="347"/>
      <c r="E11" s="347"/>
      <c r="F11" s="349"/>
      <c r="G11" s="349"/>
      <c r="H11" s="349"/>
      <c r="I11" s="349"/>
      <c r="J11" s="349"/>
      <c r="K11" s="349"/>
      <c r="L11" s="349"/>
      <c r="M11" s="349"/>
      <c r="N11" s="349"/>
      <c r="O11" s="347"/>
      <c r="P11" s="347"/>
      <c r="Q11" s="347"/>
    </row>
    <row r="12" spans="1:17" x14ac:dyDescent="0.25">
      <c r="A12" s="347"/>
      <c r="B12" s="347"/>
      <c r="C12" s="347"/>
      <c r="D12" s="347"/>
      <c r="E12" s="347"/>
      <c r="F12" s="349"/>
      <c r="G12" s="349"/>
      <c r="H12" s="349"/>
      <c r="I12" s="349"/>
      <c r="J12" s="349"/>
      <c r="K12" s="349"/>
      <c r="L12" s="349"/>
      <c r="M12" s="349"/>
      <c r="N12" s="349"/>
      <c r="O12" s="347"/>
      <c r="P12" s="347"/>
      <c r="Q12" s="347"/>
    </row>
    <row r="13" spans="1:17" x14ac:dyDescent="0.25">
      <c r="A13" s="347"/>
      <c r="B13" s="347"/>
      <c r="C13" s="347"/>
      <c r="D13" s="347"/>
      <c r="E13" s="347"/>
      <c r="F13" s="349"/>
      <c r="G13" s="349"/>
      <c r="H13" s="349"/>
      <c r="I13" s="349"/>
      <c r="J13" s="349"/>
      <c r="K13" s="349"/>
      <c r="L13" s="349"/>
      <c r="M13" s="349"/>
      <c r="N13" s="349"/>
      <c r="O13" s="347"/>
      <c r="P13" s="347"/>
      <c r="Q13" s="347"/>
    </row>
    <row r="14" spans="1:17" x14ac:dyDescent="0.25">
      <c r="A14" s="347"/>
      <c r="B14" s="347"/>
      <c r="C14" s="347"/>
      <c r="D14" s="347"/>
      <c r="E14" s="347"/>
      <c r="F14" s="347"/>
      <c r="G14" s="347"/>
      <c r="H14" s="347"/>
      <c r="I14" s="347"/>
      <c r="J14" s="347"/>
      <c r="K14" s="347"/>
      <c r="L14" s="347"/>
      <c r="M14" s="347"/>
      <c r="N14" s="347"/>
      <c r="O14" s="347"/>
      <c r="P14" s="347"/>
      <c r="Q14" s="347"/>
    </row>
    <row r="15" spans="1:17" x14ac:dyDescent="0.25">
      <c r="A15" s="347"/>
      <c r="B15" s="347"/>
      <c r="C15" s="347"/>
      <c r="D15" s="347"/>
      <c r="E15" s="347"/>
      <c r="F15" s="347"/>
      <c r="G15" s="347"/>
      <c r="H15" s="347"/>
      <c r="I15" s="347"/>
      <c r="J15" s="347"/>
      <c r="K15" s="347"/>
      <c r="L15" s="347"/>
      <c r="M15" s="347"/>
      <c r="N15" s="347"/>
      <c r="O15" s="347"/>
      <c r="P15" s="347"/>
      <c r="Q15" s="347"/>
    </row>
    <row r="16" spans="1:17" x14ac:dyDescent="0.25">
      <c r="A16" s="347"/>
      <c r="B16" s="347"/>
      <c r="C16" s="347"/>
      <c r="D16" s="347"/>
      <c r="E16" s="347"/>
      <c r="F16" s="347"/>
      <c r="G16" s="347"/>
      <c r="H16" s="347"/>
      <c r="I16" s="347"/>
      <c r="J16" s="347"/>
      <c r="K16" s="347"/>
      <c r="L16" s="347"/>
      <c r="M16" s="347"/>
      <c r="N16" s="347"/>
      <c r="O16" s="347"/>
      <c r="P16" s="347"/>
      <c r="Q16" s="347"/>
    </row>
    <row r="17" spans="1:17" x14ac:dyDescent="0.25">
      <c r="A17" s="347"/>
      <c r="B17" s="347"/>
      <c r="C17" s="347"/>
      <c r="D17" s="347"/>
      <c r="E17" s="347"/>
      <c r="F17" s="347"/>
      <c r="G17" s="347"/>
      <c r="H17" s="347"/>
      <c r="I17" s="347"/>
      <c r="J17" s="347"/>
      <c r="K17" s="347"/>
      <c r="L17" s="347"/>
      <c r="M17" s="347"/>
      <c r="N17" s="347"/>
      <c r="O17" s="347"/>
      <c r="P17" s="347"/>
      <c r="Q17" s="347"/>
    </row>
    <row r="18" spans="1:17" x14ac:dyDescent="0.25">
      <c r="A18" s="347"/>
      <c r="B18" s="347"/>
      <c r="C18" s="347"/>
      <c r="D18" s="347"/>
      <c r="E18" s="347"/>
      <c r="F18" s="347"/>
      <c r="G18" s="347"/>
      <c r="H18" s="347"/>
      <c r="I18" s="347"/>
      <c r="J18" s="347"/>
      <c r="K18" s="347"/>
      <c r="L18" s="347"/>
      <c r="M18" s="347"/>
      <c r="N18" s="347"/>
      <c r="O18" s="347"/>
      <c r="P18" s="347"/>
      <c r="Q18" s="347"/>
    </row>
    <row r="19" spans="1:17" x14ac:dyDescent="0.25">
      <c r="A19" s="347"/>
      <c r="B19" s="347"/>
      <c r="C19" s="347"/>
      <c r="D19" s="347"/>
      <c r="E19" s="347"/>
      <c r="F19" s="347"/>
      <c r="G19" s="347"/>
      <c r="H19" s="347"/>
      <c r="I19" s="347"/>
      <c r="J19" s="347"/>
      <c r="K19" s="347"/>
      <c r="L19" s="347"/>
      <c r="M19" s="347"/>
      <c r="N19" s="347"/>
      <c r="O19" s="347"/>
      <c r="P19" s="347"/>
      <c r="Q19" s="347"/>
    </row>
    <row r="20" spans="1:17" x14ac:dyDescent="0.25">
      <c r="A20" s="347"/>
      <c r="B20" s="347"/>
      <c r="C20" s="347"/>
      <c r="D20" s="347"/>
      <c r="E20" s="347"/>
      <c r="F20" s="347"/>
      <c r="G20" s="347"/>
      <c r="H20" s="347"/>
      <c r="I20" s="347"/>
      <c r="J20" s="347"/>
      <c r="K20" s="347"/>
      <c r="L20" s="347"/>
      <c r="M20" s="347"/>
      <c r="N20" s="347"/>
      <c r="O20" s="347"/>
      <c r="P20" s="347"/>
      <c r="Q20" s="347"/>
    </row>
    <row r="21" spans="1:17" x14ac:dyDescent="0.25">
      <c r="A21" s="347"/>
      <c r="B21" s="347"/>
      <c r="C21" s="347"/>
      <c r="D21" s="347"/>
      <c r="E21" s="347"/>
      <c r="F21" s="347"/>
      <c r="G21" s="347"/>
      <c r="H21" s="347"/>
      <c r="I21" s="347"/>
      <c r="J21" s="347"/>
      <c r="K21" s="347"/>
      <c r="L21" s="347"/>
      <c r="M21" s="347"/>
      <c r="N21" s="347"/>
      <c r="O21" s="347"/>
      <c r="P21" s="347"/>
      <c r="Q21" s="347"/>
    </row>
  </sheetData>
  <mergeCells count="2">
    <mergeCell ref="F7:N13"/>
    <mergeCell ref="G3:M4"/>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macro="[0]!INGRESO_D">
                <anchor moveWithCells="1" sizeWithCells="1">
                  <from>
                    <xdr:col>2</xdr:col>
                    <xdr:colOff>247650</xdr:colOff>
                    <xdr:row>0</xdr:row>
                    <xdr:rowOff>114300</xdr:rowOff>
                  </from>
                  <to>
                    <xdr:col>4</xdr:col>
                    <xdr:colOff>38100</xdr:colOff>
                    <xdr:row>1</xdr:row>
                    <xdr:rowOff>476250</xdr:rowOff>
                  </to>
                </anchor>
              </controlPr>
            </control>
          </mc:Choice>
        </mc:AlternateContent>
        <mc:AlternateContent xmlns:mc="http://schemas.openxmlformats.org/markup-compatibility/2006">
          <mc:Choice Requires="x14">
            <control shapeId="14338" r:id="rId4" name="Button 2">
              <controlPr defaultSize="0" print="0" autoFill="0" autoPict="0" macro="[0]!ESTADO_RE">
                <anchor moveWithCells="1" sizeWithCells="1">
                  <from>
                    <xdr:col>11</xdr:col>
                    <xdr:colOff>342900</xdr:colOff>
                    <xdr:row>0</xdr:row>
                    <xdr:rowOff>114300</xdr:rowOff>
                  </from>
                  <to>
                    <xdr:col>12</xdr:col>
                    <xdr:colOff>581025</xdr:colOff>
                    <xdr:row>1</xdr:row>
                    <xdr:rowOff>476250</xdr:rowOff>
                  </to>
                </anchor>
              </controlPr>
            </control>
          </mc:Choice>
        </mc:AlternateContent>
        <mc:AlternateContent xmlns:mc="http://schemas.openxmlformats.org/markup-compatibility/2006">
          <mc:Choice Requires="x14">
            <control shapeId="14339" r:id="rId5" name="Button 3">
              <controlPr defaultSize="0" print="0" autoFill="0" autoPict="0" macro="[0]!COSTO_PRO">
                <anchor moveWithCells="1" sizeWithCells="1">
                  <from>
                    <xdr:col>4</xdr:col>
                    <xdr:colOff>238125</xdr:colOff>
                    <xdr:row>0</xdr:row>
                    <xdr:rowOff>114300</xdr:rowOff>
                  </from>
                  <to>
                    <xdr:col>6</xdr:col>
                    <xdr:colOff>352425</xdr:colOff>
                    <xdr:row>1</xdr:row>
                    <xdr:rowOff>476250</xdr:rowOff>
                  </to>
                </anchor>
              </controlPr>
            </control>
          </mc:Choice>
        </mc:AlternateContent>
        <mc:AlternateContent xmlns:mc="http://schemas.openxmlformats.org/markup-compatibility/2006">
          <mc:Choice Requires="x14">
            <control shapeId="14340" r:id="rId6" name="Button 4">
              <controlPr defaultSize="0" print="0" autoFill="0" autoPict="0" macro="[0]!DEPRE">
                <anchor moveWithCells="1" sizeWithCells="1">
                  <from>
                    <xdr:col>6</xdr:col>
                    <xdr:colOff>523875</xdr:colOff>
                    <xdr:row>0</xdr:row>
                    <xdr:rowOff>114300</xdr:rowOff>
                  </from>
                  <to>
                    <xdr:col>8</xdr:col>
                    <xdr:colOff>638175</xdr:colOff>
                    <xdr:row>1</xdr:row>
                    <xdr:rowOff>476250</xdr:rowOff>
                  </to>
                </anchor>
              </controlPr>
            </control>
          </mc:Choice>
        </mc:AlternateContent>
        <mc:AlternateContent xmlns:mc="http://schemas.openxmlformats.org/markup-compatibility/2006">
          <mc:Choice Requires="x14">
            <control shapeId="14341" r:id="rId7" name="Button 5">
              <controlPr defaultSize="0" print="0" autoFill="0" autoPict="0" macro="[0]!GASTOS">
                <anchor moveWithCells="1" sizeWithCells="1">
                  <from>
                    <xdr:col>9</xdr:col>
                    <xdr:colOff>57150</xdr:colOff>
                    <xdr:row>0</xdr:row>
                    <xdr:rowOff>114300</xdr:rowOff>
                  </from>
                  <to>
                    <xdr:col>11</xdr:col>
                    <xdr:colOff>171450</xdr:colOff>
                    <xdr:row>1</xdr:row>
                    <xdr:rowOff>476250</xdr:rowOff>
                  </to>
                </anchor>
              </controlPr>
            </control>
          </mc:Choice>
        </mc:AlternateContent>
        <mc:AlternateContent xmlns:mc="http://schemas.openxmlformats.org/markup-compatibility/2006">
          <mc:Choice Requires="x14">
            <control shapeId="14342" r:id="rId8" name="Button 6">
              <controlPr defaultSize="0" print="0" autoFill="0" autoPict="0" macro="[0]!FLUJOS">
                <anchor moveWithCells="1" sizeWithCells="1">
                  <from>
                    <xdr:col>13</xdr:col>
                    <xdr:colOff>38100</xdr:colOff>
                    <xdr:row>0</xdr:row>
                    <xdr:rowOff>114300</xdr:rowOff>
                  </from>
                  <to>
                    <xdr:col>14</xdr:col>
                    <xdr:colOff>104775</xdr:colOff>
                    <xdr:row>1</xdr:row>
                    <xdr:rowOff>476250</xdr:rowOff>
                  </to>
                </anchor>
              </controlPr>
            </control>
          </mc:Choice>
        </mc:AlternateContent>
        <mc:AlternateContent xmlns:mc="http://schemas.openxmlformats.org/markup-compatibility/2006">
          <mc:Choice Requires="x14">
            <control shapeId="14343" r:id="rId9" name="Button 7">
              <controlPr defaultSize="0" print="0" autoFill="0" autoPict="0" macro="[0]!METODOS">
                <anchor moveWithCells="1" sizeWithCells="1">
                  <from>
                    <xdr:col>14</xdr:col>
                    <xdr:colOff>352425</xdr:colOff>
                    <xdr:row>0</xdr:row>
                    <xdr:rowOff>114300</xdr:rowOff>
                  </from>
                  <to>
                    <xdr:col>17</xdr:col>
                    <xdr:colOff>238125</xdr:colOff>
                    <xdr:row>1</xdr:row>
                    <xdr:rowOff>476250</xdr:rowOff>
                  </to>
                </anchor>
              </controlPr>
            </control>
          </mc:Choice>
        </mc:AlternateContent>
        <mc:AlternateContent xmlns:mc="http://schemas.openxmlformats.org/markup-compatibility/2006">
          <mc:Choice Requires="x14">
            <control shapeId="14344" r:id="rId10" name="Button 8">
              <controlPr defaultSize="0" print="0" autoFill="0" autoPict="0" macro="[0]!PORTADA">
                <anchor moveWithCells="1" sizeWithCells="1">
                  <from>
                    <xdr:col>0</xdr:col>
                    <xdr:colOff>95250</xdr:colOff>
                    <xdr:row>0</xdr:row>
                    <xdr:rowOff>114300</xdr:rowOff>
                  </from>
                  <to>
                    <xdr:col>1</xdr:col>
                    <xdr:colOff>76200</xdr:colOff>
                    <xdr:row>1</xdr:row>
                    <xdr:rowOff>428625</xdr:rowOff>
                  </to>
                </anchor>
              </controlPr>
            </control>
          </mc:Choice>
        </mc:AlternateContent>
        <mc:AlternateContent xmlns:mc="http://schemas.openxmlformats.org/markup-compatibility/2006">
          <mc:Choice Requires="x14">
            <control shapeId="14345" r:id="rId11" name="Button 9">
              <controlPr defaultSize="0" print="0" autoFill="0" autoPict="0" macro="[0]!Informe">
                <anchor moveWithCells="1" sizeWithCells="1">
                  <from>
                    <xdr:col>17</xdr:col>
                    <xdr:colOff>514350</xdr:colOff>
                    <xdr:row>0</xdr:row>
                    <xdr:rowOff>114300</xdr:rowOff>
                  </from>
                  <to>
                    <xdr:col>18</xdr:col>
                    <xdr:colOff>619125</xdr:colOff>
                    <xdr:row>1</xdr:row>
                    <xdr:rowOff>485775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3"/>
  <dimension ref="B1:M18"/>
  <sheetViews>
    <sheetView topLeftCell="E1" zoomScale="91" zoomScaleNormal="91" workbookViewId="0">
      <pane ySplit="1" topLeftCell="A2" activePane="bottomLeft" state="frozen"/>
      <selection pane="bottomLeft" activeCell="A3" sqref="A3"/>
    </sheetView>
  </sheetViews>
  <sheetFormatPr baseColWidth="10" defaultRowHeight="13.5" x14ac:dyDescent="0.25"/>
  <cols>
    <col min="1" max="1" width="11.42578125" style="43"/>
    <col min="2" max="2" width="20.42578125" style="43" customWidth="1"/>
    <col min="3" max="3" width="23.7109375" style="43" customWidth="1"/>
    <col min="4" max="4" width="21" style="43" bestFit="1" customWidth="1"/>
    <col min="5" max="6" width="11.42578125" style="43"/>
    <col min="7" max="7" width="16.42578125" style="43" customWidth="1"/>
    <col min="8" max="8" width="18.5703125" style="43" customWidth="1"/>
    <col min="9" max="9" width="21" style="43" bestFit="1" customWidth="1"/>
    <col min="10" max="10" width="11.42578125" style="43" customWidth="1"/>
    <col min="11" max="16384" width="11.42578125" style="43"/>
  </cols>
  <sheetData>
    <row r="1" spans="2:13" s="57" customFormat="1" ht="46.5" customHeight="1" thickBot="1" x14ac:dyDescent="0.3"/>
    <row r="2" spans="2:13" ht="14.25" thickTop="1" x14ac:dyDescent="0.25"/>
    <row r="3" spans="2:13" ht="30.75" thickBot="1" x14ac:dyDescent="0.55000000000000004">
      <c r="B3" s="224" t="s">
        <v>48</v>
      </c>
      <c r="C3" s="224"/>
      <c r="D3" s="224"/>
      <c r="E3" s="224"/>
      <c r="F3" s="224"/>
      <c r="G3" s="224"/>
      <c r="H3" s="224"/>
      <c r="I3" s="224"/>
      <c r="J3" s="224"/>
      <c r="K3" s="224"/>
      <c r="L3" s="224"/>
      <c r="M3" s="224"/>
    </row>
    <row r="4" spans="2:13" ht="15" thickTop="1" thickBot="1" x14ac:dyDescent="0.3"/>
    <row r="5" spans="2:13" ht="15" thickTop="1" thickBot="1" x14ac:dyDescent="0.3">
      <c r="B5" s="220" t="s">
        <v>1</v>
      </c>
      <c r="C5" s="221"/>
      <c r="D5" s="46">
        <v>20000</v>
      </c>
      <c r="G5" s="218" t="s">
        <v>50</v>
      </c>
      <c r="H5" s="219"/>
      <c r="I5" s="50">
        <v>500000</v>
      </c>
    </row>
    <row r="6" spans="2:13" ht="15" thickTop="1" thickBot="1" x14ac:dyDescent="0.3">
      <c r="B6" s="218" t="s">
        <v>71</v>
      </c>
      <c r="C6" s="219"/>
      <c r="D6" s="47">
        <v>0.05</v>
      </c>
      <c r="G6" s="218" t="s">
        <v>51</v>
      </c>
      <c r="H6" s="219"/>
      <c r="I6" s="52">
        <v>30</v>
      </c>
    </row>
    <row r="7" spans="2:13" ht="15" thickTop="1" thickBot="1" x14ac:dyDescent="0.3">
      <c r="B7" s="220" t="s">
        <v>10</v>
      </c>
      <c r="C7" s="221"/>
      <c r="D7" s="48">
        <v>800</v>
      </c>
      <c r="G7" s="218" t="s">
        <v>57</v>
      </c>
      <c r="H7" s="219"/>
      <c r="I7" s="53">
        <v>1000000</v>
      </c>
    </row>
    <row r="8" spans="2:13" ht="15" thickTop="1" thickBot="1" x14ac:dyDescent="0.3">
      <c r="B8" s="220" t="s">
        <v>3</v>
      </c>
      <c r="C8" s="221"/>
      <c r="D8" s="49">
        <v>0.16</v>
      </c>
      <c r="G8" s="220" t="s">
        <v>0</v>
      </c>
      <c r="H8" s="221"/>
      <c r="I8" s="54">
        <v>100000</v>
      </c>
    </row>
    <row r="9" spans="2:13" ht="15" thickTop="1" thickBot="1" x14ac:dyDescent="0.3">
      <c r="G9" s="218" t="s">
        <v>51</v>
      </c>
      <c r="H9" s="219"/>
      <c r="I9" s="55">
        <v>5</v>
      </c>
    </row>
    <row r="10" spans="2:13" ht="35.25" customHeight="1" thickTop="1" thickBot="1" x14ac:dyDescent="0.3">
      <c r="G10" s="222" t="s">
        <v>58</v>
      </c>
      <c r="H10" s="223"/>
      <c r="I10" s="56">
        <v>200000</v>
      </c>
    </row>
    <row r="11" spans="2:13" ht="15" thickTop="1" thickBot="1" x14ac:dyDescent="0.3">
      <c r="B11" s="220" t="s">
        <v>62</v>
      </c>
      <c r="C11" s="221"/>
      <c r="D11" s="50">
        <v>120</v>
      </c>
    </row>
    <row r="12" spans="2:13" ht="15" thickTop="1" thickBot="1" x14ac:dyDescent="0.3">
      <c r="B12" s="218" t="s">
        <v>63</v>
      </c>
      <c r="C12" s="219"/>
      <c r="D12" s="48">
        <v>80</v>
      </c>
    </row>
    <row r="13" spans="2:13" ht="15" thickTop="1" thickBot="1" x14ac:dyDescent="0.3">
      <c r="B13" s="218" t="s">
        <v>64</v>
      </c>
      <c r="C13" s="219"/>
      <c r="D13" s="48">
        <v>50</v>
      </c>
      <c r="G13" s="218" t="s">
        <v>72</v>
      </c>
      <c r="H13" s="219"/>
      <c r="I13" s="50">
        <v>100</v>
      </c>
    </row>
    <row r="14" spans="2:13" ht="24.75" customHeight="1" thickTop="1" thickBot="1" x14ac:dyDescent="0.3">
      <c r="B14" s="218" t="s">
        <v>65</v>
      </c>
      <c r="C14" s="219"/>
      <c r="D14" s="48">
        <v>50</v>
      </c>
      <c r="G14" s="218" t="s">
        <v>73</v>
      </c>
      <c r="H14" s="219"/>
      <c r="I14" s="53">
        <v>200</v>
      </c>
    </row>
    <row r="15" spans="2:13" ht="40.5" customHeight="1" thickTop="1" thickBot="1" x14ac:dyDescent="0.3">
      <c r="B15" s="222" t="s">
        <v>66</v>
      </c>
      <c r="C15" s="223"/>
      <c r="D15" s="48">
        <v>150000</v>
      </c>
      <c r="G15" s="222" t="s">
        <v>74</v>
      </c>
      <c r="H15" s="223"/>
      <c r="I15" s="49">
        <v>0.05</v>
      </c>
    </row>
    <row r="16" spans="2:13" ht="15" thickTop="1" thickBot="1" x14ac:dyDescent="0.3">
      <c r="B16" s="220" t="s">
        <v>75</v>
      </c>
      <c r="C16" s="221"/>
      <c r="D16" s="51">
        <v>0.08</v>
      </c>
    </row>
    <row r="17" spans="2:4" ht="15" thickTop="1" thickBot="1" x14ac:dyDescent="0.3">
      <c r="B17" s="220" t="s">
        <v>100</v>
      </c>
      <c r="C17" s="221"/>
      <c r="D17" s="49">
        <v>0.45</v>
      </c>
    </row>
    <row r="18" spans="2:4" ht="14.25" thickTop="1" x14ac:dyDescent="0.25"/>
  </sheetData>
  <mergeCells count="21">
    <mergeCell ref="B17:C17"/>
    <mergeCell ref="B16:C16"/>
    <mergeCell ref="B3:M3"/>
    <mergeCell ref="B15:C15"/>
    <mergeCell ref="B5:C5"/>
    <mergeCell ref="B7:C7"/>
    <mergeCell ref="B8:C8"/>
    <mergeCell ref="B6:C6"/>
    <mergeCell ref="B11:C11"/>
    <mergeCell ref="B12:C12"/>
    <mergeCell ref="B13:C13"/>
    <mergeCell ref="B14:C14"/>
    <mergeCell ref="G13:H13"/>
    <mergeCell ref="G14:H14"/>
    <mergeCell ref="G15:H15"/>
    <mergeCell ref="G7:H7"/>
    <mergeCell ref="G5:H5"/>
    <mergeCell ref="G8:H8"/>
    <mergeCell ref="G10:H10"/>
    <mergeCell ref="G6:H6"/>
    <mergeCell ref="G9:H9"/>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85" r:id="rId4" name="Button 13">
              <controlPr defaultSize="0" print="0" autoFill="0" autoPict="0" macro="[0]!ESTADO_RE">
                <anchor moveWithCells="1" sizeWithCells="1">
                  <from>
                    <xdr:col>7</xdr:col>
                    <xdr:colOff>1009650</xdr:colOff>
                    <xdr:row>0</xdr:row>
                    <xdr:rowOff>114300</xdr:rowOff>
                  </from>
                  <to>
                    <xdr:col>8</xdr:col>
                    <xdr:colOff>771525</xdr:colOff>
                    <xdr:row>0</xdr:row>
                    <xdr:rowOff>476250</xdr:rowOff>
                  </to>
                </anchor>
              </controlPr>
            </control>
          </mc:Choice>
        </mc:AlternateContent>
        <mc:AlternateContent xmlns:mc="http://schemas.openxmlformats.org/markup-compatibility/2006">
          <mc:Choice Requires="x14">
            <control shapeId="3086" r:id="rId5" name="Button 14">
              <controlPr defaultSize="0" print="0" autoFill="0" autoPict="0" macro="[0]!COSTO_PRO">
                <anchor moveWithCells="1" sizeWithCells="1">
                  <from>
                    <xdr:col>3</xdr:col>
                    <xdr:colOff>95250</xdr:colOff>
                    <xdr:row>0</xdr:row>
                    <xdr:rowOff>133350</xdr:rowOff>
                  </from>
                  <to>
                    <xdr:col>4</xdr:col>
                    <xdr:colOff>333375</xdr:colOff>
                    <xdr:row>0</xdr:row>
                    <xdr:rowOff>495300</xdr:rowOff>
                  </to>
                </anchor>
              </controlPr>
            </control>
          </mc:Choice>
        </mc:AlternateContent>
        <mc:AlternateContent xmlns:mc="http://schemas.openxmlformats.org/markup-compatibility/2006">
          <mc:Choice Requires="x14">
            <control shapeId="3087" r:id="rId6" name="Button 15">
              <controlPr defaultSize="0" print="0" autoFill="0" autoPict="0" macro="[0]!DEPRE">
                <anchor moveWithCells="1" sizeWithCells="1">
                  <from>
                    <xdr:col>4</xdr:col>
                    <xdr:colOff>542925</xdr:colOff>
                    <xdr:row>0</xdr:row>
                    <xdr:rowOff>114300</xdr:rowOff>
                  </from>
                  <to>
                    <xdr:col>6</xdr:col>
                    <xdr:colOff>114300</xdr:colOff>
                    <xdr:row>0</xdr:row>
                    <xdr:rowOff>447675</xdr:rowOff>
                  </to>
                </anchor>
              </controlPr>
            </control>
          </mc:Choice>
        </mc:AlternateContent>
        <mc:AlternateContent xmlns:mc="http://schemas.openxmlformats.org/markup-compatibility/2006">
          <mc:Choice Requires="x14">
            <control shapeId="3088" r:id="rId7" name="Button 16">
              <controlPr defaultSize="0" print="0" autoFill="0" autoPict="0" macro="[0]!GASTOS">
                <anchor moveWithCells="1" sizeWithCells="1">
                  <from>
                    <xdr:col>6</xdr:col>
                    <xdr:colOff>295275</xdr:colOff>
                    <xdr:row>0</xdr:row>
                    <xdr:rowOff>114300</xdr:rowOff>
                  </from>
                  <to>
                    <xdr:col>7</xdr:col>
                    <xdr:colOff>838200</xdr:colOff>
                    <xdr:row>0</xdr:row>
                    <xdr:rowOff>476250</xdr:rowOff>
                  </to>
                </anchor>
              </controlPr>
            </control>
          </mc:Choice>
        </mc:AlternateContent>
        <mc:AlternateContent xmlns:mc="http://schemas.openxmlformats.org/markup-compatibility/2006">
          <mc:Choice Requires="x14">
            <control shapeId="3089" r:id="rId8" name="Button 17">
              <controlPr defaultSize="0" print="0" autoFill="0" autoPict="0" macro="[0]!FLUJOS">
                <anchor moveWithCells="1" sizeWithCells="1">
                  <from>
                    <xdr:col>8</xdr:col>
                    <xdr:colOff>990600</xdr:colOff>
                    <xdr:row>0</xdr:row>
                    <xdr:rowOff>114300</xdr:rowOff>
                  </from>
                  <to>
                    <xdr:col>9</xdr:col>
                    <xdr:colOff>561975</xdr:colOff>
                    <xdr:row>0</xdr:row>
                    <xdr:rowOff>476250</xdr:rowOff>
                  </to>
                </anchor>
              </controlPr>
            </control>
          </mc:Choice>
        </mc:AlternateContent>
        <mc:AlternateContent xmlns:mc="http://schemas.openxmlformats.org/markup-compatibility/2006">
          <mc:Choice Requires="x14">
            <control shapeId="3090" r:id="rId9" name="Button 18">
              <controlPr defaultSize="0" print="0" autoFill="0" autoPict="0" macro="[0]!METODOS">
                <anchor moveWithCells="1" sizeWithCells="1">
                  <from>
                    <xdr:col>10</xdr:col>
                    <xdr:colOff>47625</xdr:colOff>
                    <xdr:row>0</xdr:row>
                    <xdr:rowOff>114300</xdr:rowOff>
                  </from>
                  <to>
                    <xdr:col>12</xdr:col>
                    <xdr:colOff>695325</xdr:colOff>
                    <xdr:row>0</xdr:row>
                    <xdr:rowOff>476250</xdr:rowOff>
                  </to>
                </anchor>
              </controlPr>
            </control>
          </mc:Choice>
        </mc:AlternateContent>
        <mc:AlternateContent xmlns:mc="http://schemas.openxmlformats.org/markup-compatibility/2006">
          <mc:Choice Requires="x14">
            <control shapeId="3091" r:id="rId10" name="Button 19">
              <controlPr defaultSize="0" print="0" autoFill="0" autoPict="0" macro="[0]!PORTADA">
                <anchor moveWithCells="1" sizeWithCells="1">
                  <from>
                    <xdr:col>0</xdr:col>
                    <xdr:colOff>95250</xdr:colOff>
                    <xdr:row>0</xdr:row>
                    <xdr:rowOff>114300</xdr:rowOff>
                  </from>
                  <to>
                    <xdr:col>1</xdr:col>
                    <xdr:colOff>38100</xdr:colOff>
                    <xdr:row>0</xdr:row>
                    <xdr:rowOff>466725</xdr:rowOff>
                  </to>
                </anchor>
              </controlPr>
            </control>
          </mc:Choice>
        </mc:AlternateContent>
        <mc:AlternateContent xmlns:mc="http://schemas.openxmlformats.org/markup-compatibility/2006">
          <mc:Choice Requires="x14">
            <control shapeId="3092" r:id="rId11" name="Button 20">
              <controlPr defaultSize="0" print="0" autoFill="0" autoPict="0" macro="[0]!Informe">
                <anchor moveWithCells="1" sizeWithCells="1">
                  <from>
                    <xdr:col>13</xdr:col>
                    <xdr:colOff>209550</xdr:colOff>
                    <xdr:row>0</xdr:row>
                    <xdr:rowOff>114300</xdr:rowOff>
                  </from>
                  <to>
                    <xdr:col>14</xdr:col>
                    <xdr:colOff>314325</xdr:colOff>
                    <xdr:row>0</xdr:row>
                    <xdr:rowOff>485775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
  <dimension ref="A1:N100"/>
  <sheetViews>
    <sheetView tabSelected="1" zoomScale="80" zoomScaleNormal="80" workbookViewId="0">
      <pane ySplit="1" topLeftCell="A14" activePane="bottomLeft" state="frozen"/>
      <selection pane="bottomLeft" activeCell="E11" sqref="E11"/>
    </sheetView>
  </sheetViews>
  <sheetFormatPr baseColWidth="10" defaultRowHeight="12.75" x14ac:dyDescent="0.2"/>
  <cols>
    <col min="1" max="1" width="11.42578125" style="70"/>
    <col min="2" max="2" width="13.7109375" style="70" customWidth="1"/>
    <col min="3" max="3" width="12.7109375" style="70" customWidth="1"/>
    <col min="4" max="4" width="30.28515625" style="70" bestFit="1" customWidth="1"/>
    <col min="5" max="10" width="20.85546875" style="70" bestFit="1" customWidth="1"/>
    <col min="11" max="11" width="21" style="70" bestFit="1" customWidth="1"/>
    <col min="12" max="13" width="21.5703125" style="70" bestFit="1" customWidth="1"/>
    <col min="14" max="16384" width="11.42578125" style="70"/>
  </cols>
  <sheetData>
    <row r="1" spans="1:13" s="57" customFormat="1" ht="46.5" customHeight="1" thickBot="1" x14ac:dyDescent="0.3"/>
    <row r="2" spans="1:13" ht="24" thickTop="1" thickBot="1" x14ac:dyDescent="0.45">
      <c r="B2" s="231" t="s">
        <v>45</v>
      </c>
      <c r="C2" s="231"/>
      <c r="D2" s="231"/>
      <c r="E2" s="231"/>
      <c r="F2" s="231"/>
      <c r="G2" s="231"/>
      <c r="H2" s="231"/>
      <c r="I2" s="231"/>
      <c r="J2" s="231"/>
      <c r="K2" s="231"/>
      <c r="L2" s="231"/>
      <c r="M2" s="231"/>
    </row>
    <row r="3" spans="1:13" ht="13.5" thickTop="1" x14ac:dyDescent="0.2"/>
    <row r="4" spans="1:13" ht="13.5" thickBot="1" x14ac:dyDescent="0.25">
      <c r="A4" s="71"/>
    </row>
    <row r="5" spans="1:13" ht="14.25" thickTop="1" thickBot="1" x14ac:dyDescent="0.25">
      <c r="B5" s="232"/>
      <c r="C5" s="232"/>
      <c r="D5" s="228" t="s">
        <v>8</v>
      </c>
      <c r="E5" s="229"/>
      <c r="F5" s="229"/>
      <c r="G5" s="229"/>
      <c r="H5" s="229"/>
      <c r="I5" s="229"/>
      <c r="J5" s="229"/>
      <c r="K5" s="229"/>
      <c r="L5" s="229"/>
      <c r="M5" s="230"/>
    </row>
    <row r="6" spans="1:13" ht="14.25" thickTop="1" thickBot="1" x14ac:dyDescent="0.25">
      <c r="B6" s="232"/>
      <c r="C6" s="232"/>
      <c r="D6" s="72">
        <v>1</v>
      </c>
      <c r="E6" s="73">
        <v>2</v>
      </c>
      <c r="F6" s="73">
        <v>3</v>
      </c>
      <c r="G6" s="73">
        <v>4</v>
      </c>
      <c r="H6" s="73">
        <v>5</v>
      </c>
      <c r="I6" s="73">
        <v>6</v>
      </c>
      <c r="J6" s="73">
        <v>7</v>
      </c>
      <c r="K6" s="73">
        <v>8</v>
      </c>
      <c r="L6" s="73">
        <v>9</v>
      </c>
      <c r="M6" s="74">
        <v>10</v>
      </c>
    </row>
    <row r="7" spans="1:13" ht="14.25" thickTop="1" thickBot="1" x14ac:dyDescent="0.25">
      <c r="B7" s="226" t="s">
        <v>1</v>
      </c>
      <c r="C7" s="227"/>
      <c r="D7" s="75">
        <f>Datos!$D$5</f>
        <v>20000</v>
      </c>
      <c r="E7" s="76">
        <f>D7+(D7*Datos!$D$6)</f>
        <v>21000</v>
      </c>
      <c r="F7" s="76">
        <f>E7+(E7*Datos!$D$6)</f>
        <v>22050</v>
      </c>
      <c r="G7" s="76">
        <f>F7+(F7*Datos!$D$6)</f>
        <v>23152.5</v>
      </c>
      <c r="H7" s="76">
        <f>G7+(G7*Datos!$D$6)</f>
        <v>24310.125</v>
      </c>
      <c r="I7" s="76">
        <f>H7+(H7*Datos!$D$6)</f>
        <v>25525.631249999999</v>
      </c>
      <c r="J7" s="76">
        <f>I7+(I7*Datos!$D$6)</f>
        <v>26801.912812499999</v>
      </c>
      <c r="K7" s="76">
        <f>J7+(J7*Datos!$D$6)</f>
        <v>28142.008453125</v>
      </c>
      <c r="L7" s="76">
        <f>K7+(K7*Datos!$D$6)</f>
        <v>29549.10887578125</v>
      </c>
      <c r="M7" s="77">
        <f>L7+(L7*Datos!$D$6)</f>
        <v>31026.564319570312</v>
      </c>
    </row>
    <row r="8" spans="1:13" ht="14.25" thickTop="1" thickBot="1" x14ac:dyDescent="0.25">
      <c r="B8" s="226" t="s">
        <v>10</v>
      </c>
      <c r="C8" s="227"/>
      <c r="D8" s="78">
        <f>Datos!D7</f>
        <v>800</v>
      </c>
      <c r="E8" s="79">
        <f>D8+(D8*Datos!$D$6)</f>
        <v>840</v>
      </c>
      <c r="F8" s="79">
        <f>E8+(E8*Datos!$D$6)</f>
        <v>882</v>
      </c>
      <c r="G8" s="79">
        <f>F8+(F8*Datos!$D$6)</f>
        <v>926.1</v>
      </c>
      <c r="H8" s="79">
        <f>G8+(G8*Datos!$D$6)</f>
        <v>972.40499999999997</v>
      </c>
      <c r="I8" s="79">
        <f>H8+(H8*Datos!$D$6)</f>
        <v>1021.0252499999999</v>
      </c>
      <c r="J8" s="79">
        <f>I8+(I8*Datos!$D$6)</f>
        <v>1072.0765124999998</v>
      </c>
      <c r="K8" s="79">
        <f>J8+(J8*Datos!$D$6)</f>
        <v>1125.6803381249997</v>
      </c>
      <c r="L8" s="79">
        <f>K8+(K8*Datos!$D$6)</f>
        <v>1181.9643550312496</v>
      </c>
      <c r="M8" s="80">
        <f>L8+(L8*Datos!$D$6)</f>
        <v>1241.0625727828121</v>
      </c>
    </row>
    <row r="9" spans="1:13" ht="14.25" thickTop="1" thickBot="1" x14ac:dyDescent="0.25">
      <c r="B9" s="226" t="s">
        <v>2</v>
      </c>
      <c r="C9" s="227"/>
      <c r="D9" s="78">
        <f>D7*D8</f>
        <v>16000000</v>
      </c>
      <c r="E9" s="79">
        <f t="shared" ref="E9:M9" si="0">E7*E8</f>
        <v>17640000</v>
      </c>
      <c r="F9" s="79">
        <f t="shared" si="0"/>
        <v>19448100</v>
      </c>
      <c r="G9" s="79">
        <f t="shared" si="0"/>
        <v>21441530.25</v>
      </c>
      <c r="H9" s="79">
        <f t="shared" si="0"/>
        <v>23639287.100625001</v>
      </c>
      <c r="I9" s="79">
        <f t="shared" si="0"/>
        <v>26062314.02843906</v>
      </c>
      <c r="J9" s="79">
        <f t="shared" si="0"/>
        <v>28733701.216354061</v>
      </c>
      <c r="K9" s="79">
        <f t="shared" si="0"/>
        <v>31678905.591030348</v>
      </c>
      <c r="L9" s="79">
        <f t="shared" si="0"/>
        <v>34925993.414110959</v>
      </c>
      <c r="M9" s="80">
        <f t="shared" si="0"/>
        <v>38505907.739057332</v>
      </c>
    </row>
    <row r="10" spans="1:13" ht="14.25" thickTop="1" thickBot="1" x14ac:dyDescent="0.25">
      <c r="B10" s="226" t="s">
        <v>3</v>
      </c>
      <c r="C10" s="227"/>
      <c r="D10" s="78">
        <f>D9-D11</f>
        <v>2206896.5517241377</v>
      </c>
      <c r="E10" s="78">
        <f t="shared" ref="E10:M10" si="1">E9-E11</f>
        <v>2433103.4482758604</v>
      </c>
      <c r="F10" s="78">
        <f t="shared" si="1"/>
        <v>2682496.5517241359</v>
      </c>
      <c r="G10" s="78">
        <f t="shared" si="1"/>
        <v>2957452.4482758604</v>
      </c>
      <c r="H10" s="78">
        <f t="shared" si="1"/>
        <v>3260591.3242241368</v>
      </c>
      <c r="I10" s="78">
        <f t="shared" si="1"/>
        <v>3594801.9349571094</v>
      </c>
      <c r="J10" s="78">
        <f t="shared" si="1"/>
        <v>3963269.1332902126</v>
      </c>
      <c r="K10" s="78">
        <f t="shared" si="1"/>
        <v>4369504.2194524594</v>
      </c>
      <c r="L10" s="78">
        <f t="shared" si="1"/>
        <v>4817378.401946336</v>
      </c>
      <c r="M10" s="80">
        <f t="shared" si="1"/>
        <v>5311159.688145835</v>
      </c>
    </row>
    <row r="11" spans="1:13" ht="14.25" thickTop="1" thickBot="1" x14ac:dyDescent="0.25">
      <c r="B11" s="226" t="s">
        <v>4</v>
      </c>
      <c r="C11" s="227"/>
      <c r="D11" s="78">
        <f>D9/1.16</f>
        <v>13793103.448275862</v>
      </c>
      <c r="E11" s="78">
        <f t="shared" ref="E11:M11" si="2">E9/1.16</f>
        <v>15206896.55172414</v>
      </c>
      <c r="F11" s="78">
        <f t="shared" si="2"/>
        <v>16765603.448275864</v>
      </c>
      <c r="G11" s="78">
        <f t="shared" si="2"/>
        <v>18484077.80172414</v>
      </c>
      <c r="H11" s="78">
        <f t="shared" si="2"/>
        <v>20378695.776400864</v>
      </c>
      <c r="I11" s="78">
        <f t="shared" si="2"/>
        <v>22467512.09348195</v>
      </c>
      <c r="J11" s="78">
        <f t="shared" si="2"/>
        <v>24770432.083063848</v>
      </c>
      <c r="K11" s="78">
        <f t="shared" si="2"/>
        <v>27309401.371577889</v>
      </c>
      <c r="L11" s="78">
        <f t="shared" si="2"/>
        <v>30108615.012164623</v>
      </c>
      <c r="M11" s="80">
        <f t="shared" si="2"/>
        <v>33194748.050911497</v>
      </c>
    </row>
    <row r="12" spans="1:13" ht="44.25" customHeight="1" thickTop="1" thickBot="1" x14ac:dyDescent="0.25">
      <c r="B12" s="226" t="s">
        <v>70</v>
      </c>
      <c r="C12" s="227"/>
      <c r="D12" s="78">
        <f>'Costos de Produccion'!D28</f>
        <v>6150000</v>
      </c>
      <c r="E12" s="79">
        <f>'Costos de Produccion'!E28</f>
        <v>6966000</v>
      </c>
      <c r="F12" s="79">
        <f>'Costos de Produccion'!F28</f>
        <v>7890696</v>
      </c>
      <c r="G12" s="79">
        <f>'Costos de Produccion'!G28</f>
        <v>8938601.4240000006</v>
      </c>
      <c r="H12" s="79">
        <f>'Costos de Produccion'!H28</f>
        <v>10126170.347616002</v>
      </c>
      <c r="I12" s="79">
        <f>'Costos de Produccion'!I28</f>
        <v>11472057.213620543</v>
      </c>
      <c r="J12" s="79">
        <f>'Costos de Produccion'!J28</f>
        <v>12997411.322823616</v>
      </c>
      <c r="K12" s="79">
        <f>'Costos de Produccion'!K28</f>
        <v>14726210.758066135</v>
      </c>
      <c r="L12" s="79">
        <f>'Costos de Produccion'!L28</f>
        <v>16685641.023069885</v>
      </c>
      <c r="M12" s="80">
        <f>'Costos de Produccion'!M28</f>
        <v>18906524.385457963</v>
      </c>
    </row>
    <row r="13" spans="1:13" ht="14.25" thickTop="1" thickBot="1" x14ac:dyDescent="0.25">
      <c r="B13" s="226" t="s">
        <v>69</v>
      </c>
      <c r="C13" s="227"/>
      <c r="D13" s="78">
        <f>Depreciacion!K8</f>
        <v>196666.66666666666</v>
      </c>
      <c r="E13" s="79">
        <f>D13</f>
        <v>196666.66666666666</v>
      </c>
      <c r="F13" s="79">
        <f t="shared" ref="F13:M13" si="3">E13</f>
        <v>196666.66666666666</v>
      </c>
      <c r="G13" s="79">
        <f t="shared" si="3"/>
        <v>196666.66666666666</v>
      </c>
      <c r="H13" s="79">
        <f t="shared" si="3"/>
        <v>196666.66666666666</v>
      </c>
      <c r="I13" s="79">
        <f t="shared" si="3"/>
        <v>196666.66666666666</v>
      </c>
      <c r="J13" s="79">
        <f t="shared" si="3"/>
        <v>196666.66666666666</v>
      </c>
      <c r="K13" s="79">
        <f t="shared" si="3"/>
        <v>196666.66666666666</v>
      </c>
      <c r="L13" s="79">
        <f t="shared" si="3"/>
        <v>196666.66666666666</v>
      </c>
      <c r="M13" s="80">
        <f t="shared" si="3"/>
        <v>196666.66666666666</v>
      </c>
    </row>
    <row r="14" spans="1:13" ht="50.25" customHeight="1" thickTop="1" thickBot="1" x14ac:dyDescent="0.25">
      <c r="B14" s="226" t="s">
        <v>11</v>
      </c>
      <c r="C14" s="227"/>
      <c r="D14" s="81">
        <v>0</v>
      </c>
      <c r="E14" s="82">
        <v>0</v>
      </c>
      <c r="F14" s="82">
        <v>0</v>
      </c>
      <c r="G14" s="82">
        <v>0</v>
      </c>
      <c r="H14" s="82">
        <v>0</v>
      </c>
      <c r="I14" s="83">
        <f>IF(I7&gt;25000,(I7-25000)*400,0)</f>
        <v>210252.49999999942</v>
      </c>
      <c r="J14" s="83">
        <f t="shared" ref="J14:M14" si="4">IF(J7&gt;25000,(J7-25000)*400,0)</f>
        <v>720765.12499999953</v>
      </c>
      <c r="K14" s="83">
        <f t="shared" si="4"/>
        <v>1256803.3812499999</v>
      </c>
      <c r="L14" s="83">
        <f t="shared" si="4"/>
        <v>1819643.5503125002</v>
      </c>
      <c r="M14" s="84">
        <f t="shared" si="4"/>
        <v>2410625.727828125</v>
      </c>
    </row>
    <row r="15" spans="1:13" ht="14.25" thickTop="1" thickBot="1" x14ac:dyDescent="0.25">
      <c r="B15" s="226" t="s">
        <v>5</v>
      </c>
      <c r="C15" s="227"/>
      <c r="D15" s="78">
        <f>D11-D12-D13-D14</f>
        <v>7446436.7816091953</v>
      </c>
      <c r="E15" s="79">
        <f t="shared" ref="E15:M15" si="5">E11-E12-E13-E14</f>
        <v>8044229.8850574726</v>
      </c>
      <c r="F15" s="79">
        <f t="shared" si="5"/>
        <v>8678240.7816091981</v>
      </c>
      <c r="G15" s="79">
        <f t="shared" si="5"/>
        <v>9348809.711057473</v>
      </c>
      <c r="H15" s="79">
        <f t="shared" si="5"/>
        <v>10055858.762118196</v>
      </c>
      <c r="I15" s="79">
        <f t="shared" si="5"/>
        <v>10588535.713194741</v>
      </c>
      <c r="J15" s="79">
        <f t="shared" si="5"/>
        <v>10855588.968573567</v>
      </c>
      <c r="K15" s="79">
        <f t="shared" si="5"/>
        <v>11129720.565595089</v>
      </c>
      <c r="L15" s="79">
        <f t="shared" si="5"/>
        <v>11406663.772115571</v>
      </c>
      <c r="M15" s="80">
        <f t="shared" si="5"/>
        <v>11680931.270958744</v>
      </c>
    </row>
    <row r="16" spans="1:13" ht="49.5" customHeight="1" thickTop="1" thickBot="1" x14ac:dyDescent="0.25">
      <c r="B16" s="226" t="s">
        <v>12</v>
      </c>
      <c r="C16" s="227"/>
      <c r="D16" s="78">
        <f>'Gastos A y V'!C8</f>
        <v>2000000</v>
      </c>
      <c r="E16" s="79">
        <f>'Gastos A y V'!D8</f>
        <v>2100000</v>
      </c>
      <c r="F16" s="79">
        <f>'Gastos A y V'!E8</f>
        <v>2205000</v>
      </c>
      <c r="G16" s="79">
        <f>'Gastos A y V'!F8</f>
        <v>2315250</v>
      </c>
      <c r="H16" s="79">
        <f>'Gastos A y V'!G8</f>
        <v>2431012.5</v>
      </c>
      <c r="I16" s="79">
        <f>'Gastos A y V'!H8</f>
        <v>2552563.125</v>
      </c>
      <c r="J16" s="79">
        <f>'Gastos A y V'!I8</f>
        <v>2680191.28125</v>
      </c>
      <c r="K16" s="79">
        <f>'Gastos A y V'!J8</f>
        <v>2814200.8453124999</v>
      </c>
      <c r="L16" s="79">
        <f>'Gastos A y V'!K8</f>
        <v>2954910.8875781251</v>
      </c>
      <c r="M16" s="80">
        <f>'Gastos A y V'!L8</f>
        <v>3102656.4319570316</v>
      </c>
    </row>
    <row r="17" spans="1:14" ht="27" customHeight="1" thickTop="1" thickBot="1" x14ac:dyDescent="0.25">
      <c r="B17" s="226" t="s">
        <v>13</v>
      </c>
      <c r="C17" s="227"/>
      <c r="D17" s="78">
        <f>'Gastos A y V'!C17</f>
        <v>4000000</v>
      </c>
      <c r="E17" s="79">
        <f>'Gastos A y V'!D17</f>
        <v>4200000</v>
      </c>
      <c r="F17" s="79">
        <f>'Gastos A y V'!E17</f>
        <v>4410000</v>
      </c>
      <c r="G17" s="79">
        <f>'Gastos A y V'!F17</f>
        <v>4630500</v>
      </c>
      <c r="H17" s="79">
        <f>'Gastos A y V'!G17</f>
        <v>4862025</v>
      </c>
      <c r="I17" s="79">
        <f>'Gastos A y V'!H17</f>
        <v>5105126.25</v>
      </c>
      <c r="J17" s="79">
        <f>'Gastos A y V'!I17</f>
        <v>5360382.5625</v>
      </c>
      <c r="K17" s="79">
        <f>'Gastos A y V'!J17</f>
        <v>5628401.6906249998</v>
      </c>
      <c r="L17" s="79">
        <f>'Gastos A y V'!K17</f>
        <v>5909821.7751562502</v>
      </c>
      <c r="M17" s="80">
        <f>'Gastos A y V'!L17</f>
        <v>6205312.8639140632</v>
      </c>
    </row>
    <row r="18" spans="1:14" ht="49.5" customHeight="1" thickTop="1" thickBot="1" x14ac:dyDescent="0.25">
      <c r="B18" s="226" t="s">
        <v>14</v>
      </c>
      <c r="C18" s="227"/>
      <c r="D18" s="78">
        <f>D15-D16-D17</f>
        <v>1446436.7816091953</v>
      </c>
      <c r="E18" s="79">
        <f t="shared" ref="E18:M18" si="6">E15-E16-E17</f>
        <v>1744229.8850574726</v>
      </c>
      <c r="F18" s="79">
        <f t="shared" si="6"/>
        <v>2063240.7816091981</v>
      </c>
      <c r="G18" s="79">
        <f t="shared" si="6"/>
        <v>2403059.711057473</v>
      </c>
      <c r="H18" s="79">
        <f t="shared" si="6"/>
        <v>2762821.2621181961</v>
      </c>
      <c r="I18" s="79">
        <f t="shared" si="6"/>
        <v>2930846.3381947409</v>
      </c>
      <c r="J18" s="79">
        <f t="shared" si="6"/>
        <v>2815015.1248235665</v>
      </c>
      <c r="K18" s="79">
        <f t="shared" si="6"/>
        <v>2687118.0296575883</v>
      </c>
      <c r="L18" s="79">
        <f t="shared" si="6"/>
        <v>2541931.109381197</v>
      </c>
      <c r="M18" s="80">
        <f t="shared" si="6"/>
        <v>2372961.9750876483</v>
      </c>
    </row>
    <row r="19" spans="1:14" ht="49.5" customHeight="1" thickTop="1" thickBot="1" x14ac:dyDescent="0.25">
      <c r="B19" s="226" t="s">
        <v>6</v>
      </c>
      <c r="C19" s="227"/>
      <c r="D19" s="81">
        <v>0</v>
      </c>
      <c r="E19" s="82">
        <v>0</v>
      </c>
      <c r="F19" s="82">
        <v>0</v>
      </c>
      <c r="G19" s="82">
        <v>0</v>
      </c>
      <c r="H19" s="82">
        <v>0</v>
      </c>
      <c r="I19" s="82">
        <v>0</v>
      </c>
      <c r="J19" s="82">
        <v>0</v>
      </c>
      <c r="K19" s="82">
        <v>0</v>
      </c>
      <c r="L19" s="82">
        <v>0</v>
      </c>
      <c r="M19" s="85">
        <v>0</v>
      </c>
    </row>
    <row r="20" spans="1:14" ht="50.25" customHeight="1" thickTop="1" thickBot="1" x14ac:dyDescent="0.25">
      <c r="B20" s="226" t="s">
        <v>15</v>
      </c>
      <c r="C20" s="227"/>
      <c r="D20" s="78">
        <f>D18-D19</f>
        <v>1446436.7816091953</v>
      </c>
      <c r="E20" s="79">
        <f t="shared" ref="E20:M20" si="7">E18-E19</f>
        <v>1744229.8850574726</v>
      </c>
      <c r="F20" s="79">
        <f t="shared" si="7"/>
        <v>2063240.7816091981</v>
      </c>
      <c r="G20" s="79">
        <f t="shared" si="7"/>
        <v>2403059.711057473</v>
      </c>
      <c r="H20" s="79">
        <f t="shared" si="7"/>
        <v>2762821.2621181961</v>
      </c>
      <c r="I20" s="79">
        <f t="shared" si="7"/>
        <v>2930846.3381947409</v>
      </c>
      <c r="J20" s="79">
        <f t="shared" si="7"/>
        <v>2815015.1248235665</v>
      </c>
      <c r="K20" s="79">
        <f t="shared" si="7"/>
        <v>2687118.0296575883</v>
      </c>
      <c r="L20" s="79">
        <f t="shared" si="7"/>
        <v>2541931.109381197</v>
      </c>
      <c r="M20" s="80">
        <f t="shared" si="7"/>
        <v>2372961.9750876483</v>
      </c>
    </row>
    <row r="21" spans="1:14" ht="27" customHeight="1" thickTop="1" thickBot="1" x14ac:dyDescent="0.25">
      <c r="B21" s="226" t="s">
        <v>16</v>
      </c>
      <c r="C21" s="227"/>
      <c r="D21" s="78">
        <f>IF(AND(D20&gt;=0,D20&lt;1000),D20*5%,IF(AND(D20&gt;=1000,D20&lt;10000),D20*10%,IF(AND(D20&gt;=10000,D20&lt;50000),D20*15%,IF(AND(D20&gt;=50000,D20&lt;100000),D20*20%,IF(AND(D20&gt;=100000,D20&lt;500000),D20*25%,IF(AND(D20&gt;=500000,D20&lt;1000000),D20*30%,D20*35%))))))</f>
        <v>506252.87356321834</v>
      </c>
      <c r="E21" s="78">
        <f t="shared" ref="E21:M21" si="8">IF(AND(E20&gt;=0,E20&lt;1000),E20*5%,IF(AND(E20&gt;=1000,E20&lt;10000),E20*10%,IF(AND(E20&gt;=10000,E20&lt;50000),E20*15%,IF(AND(E20&gt;=50000,E20&lt;100000),E20*20%,IF(AND(E20&gt;=100000,E20&lt;500000),E20*25%,IF(AND(E20&gt;=500000,E20&lt;1000000),E20*30%,E20*35%))))))</f>
        <v>610480.45977011533</v>
      </c>
      <c r="F21" s="78">
        <f t="shared" si="8"/>
        <v>722134.27356321923</v>
      </c>
      <c r="G21" s="78">
        <f t="shared" si="8"/>
        <v>841070.89887011552</v>
      </c>
      <c r="H21" s="78">
        <f t="shared" si="8"/>
        <v>966987.44174136862</v>
      </c>
      <c r="I21" s="78">
        <f t="shared" si="8"/>
        <v>1025796.2183681593</v>
      </c>
      <c r="J21" s="78">
        <f t="shared" si="8"/>
        <v>985255.29368824826</v>
      </c>
      <c r="K21" s="78">
        <f t="shared" si="8"/>
        <v>940491.3103801558</v>
      </c>
      <c r="L21" s="78">
        <f t="shared" si="8"/>
        <v>889675.88828341896</v>
      </c>
      <c r="M21" s="80">
        <f t="shared" si="8"/>
        <v>830536.69128067687</v>
      </c>
      <c r="N21" s="86"/>
    </row>
    <row r="22" spans="1:14" ht="43.5" customHeight="1" thickTop="1" thickBot="1" x14ac:dyDescent="0.25">
      <c r="A22" s="71"/>
      <c r="B22" s="226" t="s">
        <v>7</v>
      </c>
      <c r="C22" s="227"/>
      <c r="D22" s="87">
        <f>D20-D21</f>
        <v>940183.90804597689</v>
      </c>
      <c r="E22" s="88">
        <f t="shared" ref="E22:M22" si="9">E20-E21</f>
        <v>1133749.4252873573</v>
      </c>
      <c r="F22" s="88">
        <f t="shared" si="9"/>
        <v>1341106.5080459788</v>
      </c>
      <c r="G22" s="88">
        <f t="shared" si="9"/>
        <v>1561988.8121873573</v>
      </c>
      <c r="H22" s="88">
        <f t="shared" si="9"/>
        <v>1795833.8203768274</v>
      </c>
      <c r="I22" s="88">
        <f t="shared" si="9"/>
        <v>1905050.1198265818</v>
      </c>
      <c r="J22" s="88">
        <f t="shared" si="9"/>
        <v>1829759.8311353181</v>
      </c>
      <c r="K22" s="88">
        <f t="shared" si="9"/>
        <v>1746626.7192774327</v>
      </c>
      <c r="L22" s="88">
        <f t="shared" si="9"/>
        <v>1652255.2210977781</v>
      </c>
      <c r="M22" s="89">
        <f t="shared" si="9"/>
        <v>1542425.2838069713</v>
      </c>
    </row>
    <row r="23" spans="1:14" ht="13.5" thickTop="1" x14ac:dyDescent="0.2">
      <c r="B23" s="225"/>
      <c r="C23" s="225"/>
    </row>
    <row r="24" spans="1:14" x14ac:dyDescent="0.2">
      <c r="B24" s="225"/>
      <c r="C24" s="225"/>
      <c r="D24" s="71"/>
      <c r="E24" s="71"/>
      <c r="F24" s="71"/>
      <c r="G24" s="71"/>
      <c r="H24" s="71"/>
      <c r="I24" s="71"/>
      <c r="J24" s="71"/>
    </row>
    <row r="25" spans="1:14" x14ac:dyDescent="0.2">
      <c r="B25" s="225"/>
      <c r="C25" s="225"/>
      <c r="L25" s="90"/>
      <c r="M25" s="90"/>
    </row>
    <row r="26" spans="1:14" x14ac:dyDescent="0.2">
      <c r="B26" s="225"/>
      <c r="C26" s="225"/>
    </row>
    <row r="27" spans="1:14" x14ac:dyDescent="0.2">
      <c r="B27" s="225"/>
      <c r="C27" s="225"/>
      <c r="D27" s="90"/>
      <c r="E27" s="90"/>
      <c r="F27" s="90"/>
      <c r="G27" s="90"/>
      <c r="H27" s="90"/>
      <c r="I27" s="90"/>
      <c r="J27" s="90"/>
      <c r="K27" s="90"/>
    </row>
    <row r="28" spans="1:14" x14ac:dyDescent="0.2">
      <c r="B28" s="225"/>
      <c r="C28" s="225"/>
    </row>
    <row r="29" spans="1:14" x14ac:dyDescent="0.2">
      <c r="B29" s="225"/>
      <c r="C29" s="225"/>
    </row>
    <row r="30" spans="1:14" x14ac:dyDescent="0.2">
      <c r="B30" s="225"/>
      <c r="C30" s="225"/>
    </row>
    <row r="31" spans="1:14" x14ac:dyDescent="0.2">
      <c r="B31" s="225"/>
      <c r="C31" s="225"/>
    </row>
    <row r="32" spans="1:14" x14ac:dyDescent="0.2">
      <c r="B32" s="225"/>
      <c r="C32" s="225"/>
    </row>
    <row r="33" spans="2:3" x14ac:dyDescent="0.2">
      <c r="B33" s="225"/>
      <c r="C33" s="225"/>
    </row>
    <row r="34" spans="2:3" x14ac:dyDescent="0.2">
      <c r="B34" s="225"/>
      <c r="C34" s="225"/>
    </row>
    <row r="35" spans="2:3" x14ac:dyDescent="0.2">
      <c r="B35" s="225"/>
      <c r="C35" s="225"/>
    </row>
    <row r="36" spans="2:3" x14ac:dyDescent="0.2">
      <c r="B36" s="225"/>
      <c r="C36" s="225"/>
    </row>
    <row r="37" spans="2:3" x14ac:dyDescent="0.2">
      <c r="B37" s="225"/>
      <c r="C37" s="225"/>
    </row>
    <row r="38" spans="2:3" x14ac:dyDescent="0.2">
      <c r="B38" s="225"/>
      <c r="C38" s="225"/>
    </row>
    <row r="39" spans="2:3" x14ac:dyDescent="0.2">
      <c r="B39" s="225"/>
      <c r="C39" s="225"/>
    </row>
    <row r="40" spans="2:3" x14ac:dyDescent="0.2">
      <c r="B40" s="225"/>
      <c r="C40" s="225"/>
    </row>
    <row r="41" spans="2:3" x14ac:dyDescent="0.2">
      <c r="B41" s="225"/>
      <c r="C41" s="225"/>
    </row>
    <row r="42" spans="2:3" x14ac:dyDescent="0.2">
      <c r="B42" s="225"/>
      <c r="C42" s="225"/>
    </row>
    <row r="43" spans="2:3" x14ac:dyDescent="0.2">
      <c r="B43" s="225"/>
      <c r="C43" s="225"/>
    </row>
    <row r="44" spans="2:3" x14ac:dyDescent="0.2">
      <c r="B44" s="225"/>
      <c r="C44" s="225"/>
    </row>
    <row r="45" spans="2:3" x14ac:dyDescent="0.2">
      <c r="B45" s="225"/>
      <c r="C45" s="225"/>
    </row>
    <row r="46" spans="2:3" x14ac:dyDescent="0.2">
      <c r="B46" s="225"/>
      <c r="C46" s="225"/>
    </row>
    <row r="47" spans="2:3" x14ac:dyDescent="0.2">
      <c r="B47" s="225"/>
      <c r="C47" s="225"/>
    </row>
    <row r="48" spans="2:3" x14ac:dyDescent="0.2">
      <c r="B48" s="225"/>
      <c r="C48" s="225"/>
    </row>
    <row r="49" spans="2:3" x14ac:dyDescent="0.2">
      <c r="B49" s="225"/>
      <c r="C49" s="225"/>
    </row>
    <row r="50" spans="2:3" x14ac:dyDescent="0.2">
      <c r="B50" s="225"/>
      <c r="C50" s="225"/>
    </row>
    <row r="51" spans="2:3" x14ac:dyDescent="0.2">
      <c r="B51" s="225"/>
      <c r="C51" s="225"/>
    </row>
    <row r="52" spans="2:3" x14ac:dyDescent="0.2">
      <c r="B52" s="225"/>
      <c r="C52" s="225"/>
    </row>
    <row r="53" spans="2:3" x14ac:dyDescent="0.2">
      <c r="B53" s="225"/>
      <c r="C53" s="225"/>
    </row>
    <row r="54" spans="2:3" x14ac:dyDescent="0.2">
      <c r="B54" s="225"/>
      <c r="C54" s="225"/>
    </row>
    <row r="55" spans="2:3" x14ac:dyDescent="0.2">
      <c r="B55" s="225"/>
      <c r="C55" s="225"/>
    </row>
    <row r="56" spans="2:3" x14ac:dyDescent="0.2">
      <c r="B56" s="225"/>
      <c r="C56" s="225"/>
    </row>
    <row r="57" spans="2:3" x14ac:dyDescent="0.2">
      <c r="B57" s="225"/>
      <c r="C57" s="225"/>
    </row>
    <row r="58" spans="2:3" x14ac:dyDescent="0.2">
      <c r="B58" s="225"/>
      <c r="C58" s="225"/>
    </row>
    <row r="59" spans="2:3" x14ac:dyDescent="0.2">
      <c r="B59" s="225"/>
      <c r="C59" s="225"/>
    </row>
    <row r="60" spans="2:3" x14ac:dyDescent="0.2">
      <c r="B60" s="225"/>
      <c r="C60" s="225"/>
    </row>
    <row r="61" spans="2:3" x14ac:dyDescent="0.2">
      <c r="B61" s="225"/>
      <c r="C61" s="225"/>
    </row>
    <row r="62" spans="2:3" x14ac:dyDescent="0.2">
      <c r="B62" s="225"/>
      <c r="C62" s="225"/>
    </row>
    <row r="63" spans="2:3" x14ac:dyDescent="0.2">
      <c r="B63" s="225"/>
      <c r="C63" s="225"/>
    </row>
    <row r="64" spans="2:3" x14ac:dyDescent="0.2">
      <c r="B64" s="225"/>
      <c r="C64" s="225"/>
    </row>
    <row r="65" spans="2:3" x14ac:dyDescent="0.2">
      <c r="B65" s="225"/>
      <c r="C65" s="225"/>
    </row>
    <row r="66" spans="2:3" x14ac:dyDescent="0.2">
      <c r="B66" s="225"/>
      <c r="C66" s="225"/>
    </row>
    <row r="67" spans="2:3" x14ac:dyDescent="0.2">
      <c r="B67" s="225"/>
      <c r="C67" s="225"/>
    </row>
    <row r="68" spans="2:3" x14ac:dyDescent="0.2">
      <c r="B68" s="225"/>
      <c r="C68" s="225"/>
    </row>
    <row r="69" spans="2:3" x14ac:dyDescent="0.2">
      <c r="B69" s="225"/>
      <c r="C69" s="225"/>
    </row>
    <row r="70" spans="2:3" x14ac:dyDescent="0.2">
      <c r="B70" s="225"/>
      <c r="C70" s="225"/>
    </row>
    <row r="71" spans="2:3" x14ac:dyDescent="0.2">
      <c r="B71" s="225"/>
      <c r="C71" s="225"/>
    </row>
    <row r="72" spans="2:3" x14ac:dyDescent="0.2">
      <c r="B72" s="225"/>
      <c r="C72" s="225"/>
    </row>
    <row r="73" spans="2:3" x14ac:dyDescent="0.2">
      <c r="B73" s="225"/>
      <c r="C73" s="225"/>
    </row>
    <row r="74" spans="2:3" x14ac:dyDescent="0.2">
      <c r="B74" s="225"/>
      <c r="C74" s="225"/>
    </row>
    <row r="75" spans="2:3" x14ac:dyDescent="0.2">
      <c r="B75" s="225"/>
      <c r="C75" s="225"/>
    </row>
    <row r="76" spans="2:3" x14ac:dyDescent="0.2">
      <c r="B76" s="225"/>
      <c r="C76" s="225"/>
    </row>
    <row r="77" spans="2:3" x14ac:dyDescent="0.2">
      <c r="B77" s="225"/>
      <c r="C77" s="225"/>
    </row>
    <row r="78" spans="2:3" x14ac:dyDescent="0.2">
      <c r="B78" s="225"/>
      <c r="C78" s="225"/>
    </row>
    <row r="79" spans="2:3" x14ac:dyDescent="0.2">
      <c r="B79" s="225"/>
      <c r="C79" s="225"/>
    </row>
    <row r="80" spans="2:3" x14ac:dyDescent="0.2">
      <c r="B80" s="225"/>
      <c r="C80" s="225"/>
    </row>
    <row r="81" spans="2:3" x14ac:dyDescent="0.2">
      <c r="B81" s="225"/>
      <c r="C81" s="225"/>
    </row>
    <row r="82" spans="2:3" x14ac:dyDescent="0.2">
      <c r="B82" s="225"/>
      <c r="C82" s="225"/>
    </row>
    <row r="83" spans="2:3" x14ac:dyDescent="0.2">
      <c r="B83" s="225"/>
      <c r="C83" s="225"/>
    </row>
    <row r="84" spans="2:3" x14ac:dyDescent="0.2">
      <c r="B84" s="225"/>
      <c r="C84" s="225"/>
    </row>
    <row r="85" spans="2:3" x14ac:dyDescent="0.2">
      <c r="B85" s="225"/>
      <c r="C85" s="225"/>
    </row>
    <row r="86" spans="2:3" x14ac:dyDescent="0.2">
      <c r="B86" s="225"/>
      <c r="C86" s="225"/>
    </row>
    <row r="87" spans="2:3" x14ac:dyDescent="0.2">
      <c r="B87" s="225"/>
      <c r="C87" s="225"/>
    </row>
    <row r="88" spans="2:3" x14ac:dyDescent="0.2">
      <c r="B88" s="225"/>
      <c r="C88" s="225"/>
    </row>
    <row r="89" spans="2:3" x14ac:dyDescent="0.2">
      <c r="B89" s="225"/>
      <c r="C89" s="225"/>
    </row>
    <row r="90" spans="2:3" x14ac:dyDescent="0.2">
      <c r="B90" s="225"/>
      <c r="C90" s="225"/>
    </row>
    <row r="91" spans="2:3" x14ac:dyDescent="0.2">
      <c r="B91" s="225"/>
      <c r="C91" s="225"/>
    </row>
    <row r="92" spans="2:3" x14ac:dyDescent="0.2">
      <c r="B92" s="225"/>
      <c r="C92" s="225"/>
    </row>
    <row r="93" spans="2:3" x14ac:dyDescent="0.2">
      <c r="B93" s="225"/>
      <c r="C93" s="225"/>
    </row>
    <row r="94" spans="2:3" x14ac:dyDescent="0.2">
      <c r="B94" s="225"/>
      <c r="C94" s="225"/>
    </row>
    <row r="95" spans="2:3" x14ac:dyDescent="0.2">
      <c r="B95" s="225"/>
      <c r="C95" s="225"/>
    </row>
    <row r="96" spans="2:3" x14ac:dyDescent="0.2">
      <c r="B96" s="225"/>
      <c r="C96" s="225"/>
    </row>
    <row r="97" spans="2:3" x14ac:dyDescent="0.2">
      <c r="B97" s="225"/>
      <c r="C97" s="225"/>
    </row>
    <row r="98" spans="2:3" x14ac:dyDescent="0.2">
      <c r="B98" s="225"/>
      <c r="C98" s="225"/>
    </row>
    <row r="99" spans="2:3" x14ac:dyDescent="0.2">
      <c r="B99" s="225"/>
      <c r="C99" s="225"/>
    </row>
    <row r="100" spans="2:3" x14ac:dyDescent="0.2">
      <c r="B100" s="225"/>
      <c r="C100" s="225"/>
    </row>
  </sheetData>
  <mergeCells count="97">
    <mergeCell ref="B2:M2"/>
    <mergeCell ref="B5:C6"/>
    <mergeCell ref="B100:C100"/>
    <mergeCell ref="B89:C89"/>
    <mergeCell ref="B90:C90"/>
    <mergeCell ref="B91:C91"/>
    <mergeCell ref="B92:C92"/>
    <mergeCell ref="B93:C93"/>
    <mergeCell ref="B94:C94"/>
    <mergeCell ref="B95:C95"/>
    <mergeCell ref="B96:C96"/>
    <mergeCell ref="B97:C97"/>
    <mergeCell ref="B98:C98"/>
    <mergeCell ref="B99:C99"/>
    <mergeCell ref="B88:C88"/>
    <mergeCell ref="B77:C77"/>
    <mergeCell ref="B78:C78"/>
    <mergeCell ref="B79:C79"/>
    <mergeCell ref="B80:C80"/>
    <mergeCell ref="B81:C81"/>
    <mergeCell ref="B82:C82"/>
    <mergeCell ref="B83:C83"/>
    <mergeCell ref="B84:C84"/>
    <mergeCell ref="B85:C85"/>
    <mergeCell ref="B86:C86"/>
    <mergeCell ref="B87:C87"/>
    <mergeCell ref="B76:C76"/>
    <mergeCell ref="B65:C65"/>
    <mergeCell ref="B66:C66"/>
    <mergeCell ref="B67:C67"/>
    <mergeCell ref="B68:C68"/>
    <mergeCell ref="B69:C69"/>
    <mergeCell ref="B70:C70"/>
    <mergeCell ref="B71:C71"/>
    <mergeCell ref="B72:C72"/>
    <mergeCell ref="B73:C73"/>
    <mergeCell ref="B74:C74"/>
    <mergeCell ref="B75:C75"/>
    <mergeCell ref="B64:C64"/>
    <mergeCell ref="B53:C53"/>
    <mergeCell ref="B54:C54"/>
    <mergeCell ref="B55:C55"/>
    <mergeCell ref="B56:C56"/>
    <mergeCell ref="B57:C57"/>
    <mergeCell ref="B58:C58"/>
    <mergeCell ref="B59:C59"/>
    <mergeCell ref="B60:C60"/>
    <mergeCell ref="B61:C61"/>
    <mergeCell ref="B62:C62"/>
    <mergeCell ref="B63:C63"/>
    <mergeCell ref="B25:C25"/>
    <mergeCell ref="B26:C26"/>
    <mergeCell ref="B27:C27"/>
    <mergeCell ref="B52:C52"/>
    <mergeCell ref="B41:C41"/>
    <mergeCell ref="B42:C42"/>
    <mergeCell ref="B43:C43"/>
    <mergeCell ref="B44:C44"/>
    <mergeCell ref="B45:C45"/>
    <mergeCell ref="B46:C46"/>
    <mergeCell ref="B47:C47"/>
    <mergeCell ref="B48:C48"/>
    <mergeCell ref="B49:C49"/>
    <mergeCell ref="B50:C50"/>
    <mergeCell ref="B51:C51"/>
    <mergeCell ref="B21:C21"/>
    <mergeCell ref="B22:C22"/>
    <mergeCell ref="B23:C23"/>
    <mergeCell ref="D5:M5"/>
    <mergeCell ref="B40:C40"/>
    <mergeCell ref="B29:C29"/>
    <mergeCell ref="B30:C30"/>
    <mergeCell ref="B31:C31"/>
    <mergeCell ref="B32:C32"/>
    <mergeCell ref="B33:C33"/>
    <mergeCell ref="B34:C34"/>
    <mergeCell ref="B35:C35"/>
    <mergeCell ref="B36:C36"/>
    <mergeCell ref="B37:C37"/>
    <mergeCell ref="B38:C38"/>
    <mergeCell ref="B39:C39"/>
    <mergeCell ref="B24:C24"/>
    <mergeCell ref="B7:C7"/>
    <mergeCell ref="B16:C16"/>
    <mergeCell ref="B28:C28"/>
    <mergeCell ref="B13:C13"/>
    <mergeCell ref="B8:C8"/>
    <mergeCell ref="B9:C9"/>
    <mergeCell ref="B10:C10"/>
    <mergeCell ref="B11:C11"/>
    <mergeCell ref="B12:C12"/>
    <mergeCell ref="B14:C14"/>
    <mergeCell ref="B15:C15"/>
    <mergeCell ref="B17:C17"/>
    <mergeCell ref="B18:C18"/>
    <mergeCell ref="B19:C19"/>
    <mergeCell ref="B20:C20"/>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66" r:id="rId3" name="Button 18">
              <controlPr defaultSize="0" print="0" autoFill="0" autoPict="0" macro="[0]!grafico">
                <anchor moveWithCells="1" sizeWithCells="1">
                  <from>
                    <xdr:col>11</xdr:col>
                    <xdr:colOff>381000</xdr:colOff>
                    <xdr:row>24</xdr:row>
                    <xdr:rowOff>85725</xdr:rowOff>
                  </from>
                  <to>
                    <xdr:col>12</xdr:col>
                    <xdr:colOff>962025</xdr:colOff>
                    <xdr:row>26</xdr:row>
                    <xdr:rowOff>66675</xdr:rowOff>
                  </to>
                </anchor>
              </controlPr>
            </control>
          </mc:Choice>
        </mc:AlternateContent>
        <mc:AlternateContent xmlns:mc="http://schemas.openxmlformats.org/markup-compatibility/2006">
          <mc:Choice Requires="x14">
            <control shapeId="2067" r:id="rId4" name="Button 19">
              <controlPr defaultSize="0" print="0" autoFill="0" autoPict="0" macro="[0]!regresar1">
                <anchor moveWithCells="1" sizeWithCells="1">
                  <from>
                    <xdr:col>35</xdr:col>
                    <xdr:colOff>76200</xdr:colOff>
                    <xdr:row>5</xdr:row>
                    <xdr:rowOff>133350</xdr:rowOff>
                  </from>
                  <to>
                    <xdr:col>36</xdr:col>
                    <xdr:colOff>685800</xdr:colOff>
                    <xdr:row>6</xdr:row>
                    <xdr:rowOff>190500</xdr:rowOff>
                  </to>
                </anchor>
              </controlPr>
            </control>
          </mc:Choice>
        </mc:AlternateContent>
        <mc:AlternateContent xmlns:mc="http://schemas.openxmlformats.org/markup-compatibility/2006">
          <mc:Choice Requires="x14">
            <control shapeId="2090" r:id="rId5" name="Button 42">
              <controlPr defaultSize="0" print="0" autoFill="0" autoPict="0" macro="[0]!INGRESO_D">
                <anchor moveWithCells="1" sizeWithCells="1">
                  <from>
                    <xdr:col>3</xdr:col>
                    <xdr:colOff>628650</xdr:colOff>
                    <xdr:row>0</xdr:row>
                    <xdr:rowOff>76200</xdr:rowOff>
                  </from>
                  <to>
                    <xdr:col>3</xdr:col>
                    <xdr:colOff>1485900</xdr:colOff>
                    <xdr:row>0</xdr:row>
                    <xdr:rowOff>533400</xdr:rowOff>
                  </to>
                </anchor>
              </controlPr>
            </control>
          </mc:Choice>
        </mc:AlternateContent>
        <mc:AlternateContent xmlns:mc="http://schemas.openxmlformats.org/markup-compatibility/2006">
          <mc:Choice Requires="x14">
            <control shapeId="2092" r:id="rId6" name="Button 44">
              <controlPr defaultSize="0" print="0" autoFill="0" autoPict="0" macro="[0]!COSTO_PRO">
                <anchor moveWithCells="1" sizeWithCells="1">
                  <from>
                    <xdr:col>3</xdr:col>
                    <xdr:colOff>1952625</xdr:colOff>
                    <xdr:row>0</xdr:row>
                    <xdr:rowOff>123825</xdr:rowOff>
                  </from>
                  <to>
                    <xdr:col>4</xdr:col>
                    <xdr:colOff>981075</xdr:colOff>
                    <xdr:row>0</xdr:row>
                    <xdr:rowOff>561975</xdr:rowOff>
                  </to>
                </anchor>
              </controlPr>
            </control>
          </mc:Choice>
        </mc:AlternateContent>
        <mc:AlternateContent xmlns:mc="http://schemas.openxmlformats.org/markup-compatibility/2006">
          <mc:Choice Requires="x14">
            <control shapeId="2093" r:id="rId7" name="Button 45">
              <controlPr defaultSize="0" print="0" autoFill="0" autoPict="0" macro="[0]!DEPRE">
                <anchor moveWithCells="1" sizeWithCells="1">
                  <from>
                    <xdr:col>4</xdr:col>
                    <xdr:colOff>1390650</xdr:colOff>
                    <xdr:row>0</xdr:row>
                    <xdr:rowOff>114300</xdr:rowOff>
                  </from>
                  <to>
                    <xdr:col>6</xdr:col>
                    <xdr:colOff>114300</xdr:colOff>
                    <xdr:row>0</xdr:row>
                    <xdr:rowOff>476250</xdr:rowOff>
                  </to>
                </anchor>
              </controlPr>
            </control>
          </mc:Choice>
        </mc:AlternateContent>
        <mc:AlternateContent xmlns:mc="http://schemas.openxmlformats.org/markup-compatibility/2006">
          <mc:Choice Requires="x14">
            <control shapeId="2094" r:id="rId8" name="Button 46">
              <controlPr defaultSize="0" print="0" autoFill="0" autoPict="0" macro="[0]!GASTOS">
                <anchor moveWithCells="1" sizeWithCells="1">
                  <from>
                    <xdr:col>6</xdr:col>
                    <xdr:colOff>295275</xdr:colOff>
                    <xdr:row>0</xdr:row>
                    <xdr:rowOff>114300</xdr:rowOff>
                  </from>
                  <to>
                    <xdr:col>7</xdr:col>
                    <xdr:colOff>838200</xdr:colOff>
                    <xdr:row>0</xdr:row>
                    <xdr:rowOff>476250</xdr:rowOff>
                  </to>
                </anchor>
              </controlPr>
            </control>
          </mc:Choice>
        </mc:AlternateContent>
        <mc:AlternateContent xmlns:mc="http://schemas.openxmlformats.org/markup-compatibility/2006">
          <mc:Choice Requires="x14">
            <control shapeId="2095" r:id="rId9" name="Button 47">
              <controlPr defaultSize="0" print="0" autoFill="0" autoPict="0" macro="[0]!FLUJOS">
                <anchor moveWithCells="1" sizeWithCells="1">
                  <from>
                    <xdr:col>7</xdr:col>
                    <xdr:colOff>1371600</xdr:colOff>
                    <xdr:row>0</xdr:row>
                    <xdr:rowOff>123825</xdr:rowOff>
                  </from>
                  <to>
                    <xdr:col>8</xdr:col>
                    <xdr:colOff>942975</xdr:colOff>
                    <xdr:row>0</xdr:row>
                    <xdr:rowOff>485775</xdr:rowOff>
                  </to>
                </anchor>
              </controlPr>
            </control>
          </mc:Choice>
        </mc:AlternateContent>
        <mc:AlternateContent xmlns:mc="http://schemas.openxmlformats.org/markup-compatibility/2006">
          <mc:Choice Requires="x14">
            <control shapeId="2096" r:id="rId10" name="Button 48">
              <controlPr defaultSize="0" print="0" autoFill="0" autoPict="0" macro="[0]!METODOS">
                <anchor moveWithCells="1" sizeWithCells="1">
                  <from>
                    <xdr:col>8</xdr:col>
                    <xdr:colOff>1362075</xdr:colOff>
                    <xdr:row>0</xdr:row>
                    <xdr:rowOff>133350</xdr:rowOff>
                  </from>
                  <to>
                    <xdr:col>10</xdr:col>
                    <xdr:colOff>847725</xdr:colOff>
                    <xdr:row>0</xdr:row>
                    <xdr:rowOff>523875</xdr:rowOff>
                  </to>
                </anchor>
              </controlPr>
            </control>
          </mc:Choice>
        </mc:AlternateContent>
        <mc:AlternateContent xmlns:mc="http://schemas.openxmlformats.org/markup-compatibility/2006">
          <mc:Choice Requires="x14">
            <control shapeId="2097" r:id="rId11" name="Button 49">
              <controlPr defaultSize="0" print="0" autoFill="0" autoPict="0" macro="[0]!PORTADA">
                <anchor moveWithCells="1" sizeWithCells="1">
                  <from>
                    <xdr:col>0</xdr:col>
                    <xdr:colOff>95250</xdr:colOff>
                    <xdr:row>0</xdr:row>
                    <xdr:rowOff>114300</xdr:rowOff>
                  </from>
                  <to>
                    <xdr:col>1</xdr:col>
                    <xdr:colOff>38100</xdr:colOff>
                    <xdr:row>0</xdr:row>
                    <xdr:rowOff>466725</xdr:rowOff>
                  </to>
                </anchor>
              </controlPr>
            </control>
          </mc:Choice>
        </mc:AlternateContent>
        <mc:AlternateContent xmlns:mc="http://schemas.openxmlformats.org/markup-compatibility/2006">
          <mc:Choice Requires="x14">
            <control shapeId="2098" r:id="rId12" name="Button 50">
              <controlPr defaultSize="0" print="0" autoFill="0" autoPict="0" macro="[0]!Informe">
                <anchor moveWithCells="1" sizeWithCells="1">
                  <from>
                    <xdr:col>10</xdr:col>
                    <xdr:colOff>1133475</xdr:colOff>
                    <xdr:row>0</xdr:row>
                    <xdr:rowOff>123825</xdr:rowOff>
                  </from>
                  <to>
                    <xdr:col>11</xdr:col>
                    <xdr:colOff>600075</xdr:colOff>
                    <xdr:row>0</xdr:row>
                    <xdr:rowOff>495300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dimension ref="B1:M29"/>
  <sheetViews>
    <sheetView zoomScale="70" zoomScaleNormal="70" workbookViewId="0">
      <pane ySplit="1" topLeftCell="A14" activePane="bottomLeft" state="frozen"/>
      <selection pane="bottomLeft" activeCell="A3" sqref="A3"/>
    </sheetView>
  </sheetViews>
  <sheetFormatPr baseColWidth="10" defaultRowHeight="16.5" x14ac:dyDescent="0.25"/>
  <cols>
    <col min="1" max="1" width="11.42578125" style="100"/>
    <col min="2" max="2" width="26.7109375" style="100" customWidth="1"/>
    <col min="3" max="3" width="17.7109375" style="100" customWidth="1"/>
    <col min="4" max="7" width="19.28515625" style="100" bestFit="1" customWidth="1"/>
    <col min="8" max="13" width="20.85546875" style="100" bestFit="1" customWidth="1"/>
    <col min="14" max="16384" width="11.42578125" style="100"/>
  </cols>
  <sheetData>
    <row r="1" spans="2:13" s="123" customFormat="1" ht="46.5" customHeight="1" thickBot="1" x14ac:dyDescent="0.3"/>
    <row r="2" spans="2:13" ht="17.25" thickTop="1" x14ac:dyDescent="0.25"/>
    <row r="3" spans="2:13" ht="46.5" thickBot="1" x14ac:dyDescent="0.3">
      <c r="B3" s="243" t="s">
        <v>61</v>
      </c>
      <c r="C3" s="243"/>
      <c r="D3" s="243"/>
      <c r="E3" s="243"/>
      <c r="F3" s="243"/>
      <c r="G3" s="243"/>
      <c r="H3" s="243"/>
      <c r="I3" s="243"/>
      <c r="J3" s="243"/>
      <c r="K3" s="243"/>
      <c r="L3" s="243"/>
      <c r="M3" s="243"/>
    </row>
    <row r="4" spans="2:13" ht="17.25" thickTop="1" x14ac:dyDescent="0.25"/>
    <row r="7" spans="2:13" ht="29.25" thickBot="1" x14ac:dyDescent="0.3">
      <c r="B7" s="244" t="s">
        <v>68</v>
      </c>
      <c r="C7" s="244"/>
      <c r="D7" s="244"/>
      <c r="E7" s="244"/>
      <c r="F7" s="244"/>
      <c r="G7" s="244"/>
      <c r="H7" s="244"/>
      <c r="I7" s="244"/>
      <c r="J7" s="244"/>
      <c r="K7" s="244"/>
      <c r="L7" s="244"/>
      <c r="M7" s="244"/>
    </row>
    <row r="8" spans="2:13" ht="25.5" thickTop="1" thickBot="1" x14ac:dyDescent="0.3">
      <c r="D8" s="240" t="s">
        <v>8</v>
      </c>
      <c r="E8" s="241"/>
      <c r="F8" s="241"/>
      <c r="G8" s="241"/>
      <c r="H8" s="241"/>
      <c r="I8" s="241"/>
      <c r="J8" s="241"/>
      <c r="K8" s="241"/>
      <c r="L8" s="241"/>
      <c r="M8" s="242"/>
    </row>
    <row r="9" spans="2:13" ht="27" customHeight="1" thickTop="1" thickBot="1" x14ac:dyDescent="0.3">
      <c r="B9" s="248"/>
      <c r="C9" s="248"/>
      <c r="D9" s="59">
        <v>1</v>
      </c>
      <c r="E9" s="60">
        <v>2</v>
      </c>
      <c r="F9" s="60">
        <v>3</v>
      </c>
      <c r="G9" s="60">
        <v>4</v>
      </c>
      <c r="H9" s="60">
        <v>5</v>
      </c>
      <c r="I9" s="60">
        <v>6</v>
      </c>
      <c r="J9" s="60">
        <v>7</v>
      </c>
      <c r="K9" s="60">
        <v>8</v>
      </c>
      <c r="L9" s="60">
        <v>9</v>
      </c>
      <c r="M9" s="61">
        <v>10</v>
      </c>
    </row>
    <row r="10" spans="2:13" ht="25.5" thickTop="1" thickBot="1" x14ac:dyDescent="0.3">
      <c r="B10" s="249" t="s">
        <v>62</v>
      </c>
      <c r="C10" s="250"/>
      <c r="D10" s="91">
        <f>Datos!D11</f>
        <v>120</v>
      </c>
      <c r="E10" s="92">
        <f>D10+(D10*Datos!$D$16)</f>
        <v>129.6</v>
      </c>
      <c r="F10" s="92">
        <f>E10+(E10*Datos!$D$16)</f>
        <v>139.96799999999999</v>
      </c>
      <c r="G10" s="92">
        <f>F10+(F10*Datos!$D$16)</f>
        <v>151.16543999999999</v>
      </c>
      <c r="H10" s="92">
        <f>G10+(G10*Datos!$D$16)</f>
        <v>163.2586752</v>
      </c>
      <c r="I10" s="92">
        <f>H10+(H10*Datos!$D$16)</f>
        <v>176.31936921599998</v>
      </c>
      <c r="J10" s="92">
        <f>I10+(I10*Datos!$D$16)</f>
        <v>190.42491875328</v>
      </c>
      <c r="K10" s="92">
        <f>J10+(J10*Datos!$D$16)</f>
        <v>205.65891225354238</v>
      </c>
      <c r="L10" s="92">
        <f>K10+(K10*Datos!$D$16)</f>
        <v>222.11162523382578</v>
      </c>
      <c r="M10" s="93">
        <f>L10+(L10*Datos!$D$16)</f>
        <v>239.88055525253185</v>
      </c>
    </row>
    <row r="11" spans="2:13" ht="25.5" thickTop="1" thickBot="1" x14ac:dyDescent="0.3">
      <c r="B11" s="240" t="s">
        <v>63</v>
      </c>
      <c r="C11" s="251"/>
      <c r="D11" s="94">
        <f>Datos!D12</f>
        <v>80</v>
      </c>
      <c r="E11" s="95">
        <f>D11+(D11*Datos!$D$16)</f>
        <v>86.4</v>
      </c>
      <c r="F11" s="95">
        <f>E11+(E11*Datos!$D$16)</f>
        <v>93.312000000000012</v>
      </c>
      <c r="G11" s="95">
        <f>F11+(F11*Datos!$D$16)</f>
        <v>100.77696000000002</v>
      </c>
      <c r="H11" s="95">
        <f>G11+(G11*Datos!$D$16)</f>
        <v>108.83911680000001</v>
      </c>
      <c r="I11" s="95">
        <f>H11+(H11*Datos!$D$16)</f>
        <v>117.54624614400001</v>
      </c>
      <c r="J11" s="95">
        <f>I11+(I11*Datos!$D$16)</f>
        <v>126.94994583552001</v>
      </c>
      <c r="K11" s="95">
        <f>J11+(J11*Datos!$D$16)</f>
        <v>137.10594150236162</v>
      </c>
      <c r="L11" s="95">
        <f>K11+(K11*Datos!$D$16)</f>
        <v>148.07441682255055</v>
      </c>
      <c r="M11" s="96">
        <f>L11+(L11*Datos!$D$16)</f>
        <v>159.92037016835459</v>
      </c>
    </row>
    <row r="12" spans="2:13" ht="25.5" thickTop="1" thickBot="1" x14ac:dyDescent="0.3">
      <c r="B12" s="240" t="s">
        <v>64</v>
      </c>
      <c r="C12" s="251"/>
      <c r="D12" s="94">
        <f>Datos!D13</f>
        <v>50</v>
      </c>
      <c r="E12" s="95">
        <f>D12+(D12*Datos!$D$16)</f>
        <v>54</v>
      </c>
      <c r="F12" s="95">
        <f>E12+(E12*Datos!$D$16)</f>
        <v>58.32</v>
      </c>
      <c r="G12" s="95">
        <f>F12+(F12*Datos!$D$16)</f>
        <v>62.985599999999998</v>
      </c>
      <c r="H12" s="95">
        <f>G12+(G12*Datos!$D$16)</f>
        <v>68.024447999999992</v>
      </c>
      <c r="I12" s="95">
        <f>H12+(H12*Datos!$D$16)</f>
        <v>73.466403839999998</v>
      </c>
      <c r="J12" s="95">
        <f>I12+(I12*Datos!$D$16)</f>
        <v>79.343716147199999</v>
      </c>
      <c r="K12" s="95">
        <f>J12+(J12*Datos!$D$16)</f>
        <v>85.691213438975993</v>
      </c>
      <c r="L12" s="95">
        <f>K12+(K12*Datos!$D$16)</f>
        <v>92.546510514094066</v>
      </c>
      <c r="M12" s="96">
        <f>L12+(L12*Datos!$D$16)</f>
        <v>99.95023135522159</v>
      </c>
    </row>
    <row r="13" spans="2:13" ht="25.5" thickTop="1" thickBot="1" x14ac:dyDescent="0.3">
      <c r="B13" s="240" t="s">
        <v>65</v>
      </c>
      <c r="C13" s="251"/>
      <c r="D13" s="94">
        <f>Datos!D14</f>
        <v>50</v>
      </c>
      <c r="E13" s="95">
        <f>D13+(D13*Datos!$D$16)</f>
        <v>54</v>
      </c>
      <c r="F13" s="95">
        <f>E13+(E13*Datos!$D$16)</f>
        <v>58.32</v>
      </c>
      <c r="G13" s="95">
        <f>F13+(F13*Datos!$D$16)</f>
        <v>62.985599999999998</v>
      </c>
      <c r="H13" s="95">
        <f>G13+(G13*Datos!$D$16)</f>
        <v>68.024447999999992</v>
      </c>
      <c r="I13" s="95">
        <f>H13+(H13*Datos!$D$16)</f>
        <v>73.466403839999998</v>
      </c>
      <c r="J13" s="95">
        <f>I13+(I13*Datos!$D$16)</f>
        <v>79.343716147199999</v>
      </c>
      <c r="K13" s="95">
        <f>J13+(J13*Datos!$D$16)</f>
        <v>85.691213438975993</v>
      </c>
      <c r="L13" s="95">
        <f>K13+(K13*Datos!$D$16)</f>
        <v>92.546510514094066</v>
      </c>
      <c r="M13" s="96">
        <f>L13+(L13*Datos!$D$16)</f>
        <v>99.95023135522159</v>
      </c>
    </row>
    <row r="14" spans="2:13" ht="46.5" customHeight="1" thickTop="1" thickBot="1" x14ac:dyDescent="0.3">
      <c r="B14" s="246" t="s">
        <v>66</v>
      </c>
      <c r="C14" s="247"/>
      <c r="D14" s="97">
        <f>Datos!D15</f>
        <v>150000</v>
      </c>
      <c r="E14" s="98">
        <f>D14+(Datos!$D$16*D14)</f>
        <v>162000</v>
      </c>
      <c r="F14" s="98">
        <f>E14+(Datos!$D$16*E14)</f>
        <v>174960</v>
      </c>
      <c r="G14" s="98">
        <f>F14+(Datos!$D$16*F14)</f>
        <v>188956.79999999999</v>
      </c>
      <c r="H14" s="98">
        <f>G14+(Datos!$D$16*G14)</f>
        <v>204073.34399999998</v>
      </c>
      <c r="I14" s="98">
        <f>H14+(Datos!$D$16*H14)</f>
        <v>220399.21151999998</v>
      </c>
      <c r="J14" s="98">
        <f>I14+(Datos!$D$16*I14)</f>
        <v>238031.14844159997</v>
      </c>
      <c r="K14" s="98">
        <f>J14+(Datos!$D$16*J14)</f>
        <v>257073.64031692798</v>
      </c>
      <c r="L14" s="98">
        <f>K14+(Datos!$D$16*K14)</f>
        <v>277639.5315422822</v>
      </c>
      <c r="M14" s="99">
        <f>L14+(Datos!$D$16*L14)</f>
        <v>299850.69406566478</v>
      </c>
    </row>
    <row r="15" spans="2:13" ht="17.25" thickTop="1" x14ac:dyDescent="0.25"/>
    <row r="20" spans="2:13" ht="36" x14ac:dyDescent="0.25">
      <c r="B20" s="245" t="s">
        <v>76</v>
      </c>
      <c r="C20" s="245"/>
      <c r="D20" s="245"/>
      <c r="E20" s="245"/>
      <c r="F20" s="245"/>
      <c r="G20" s="245"/>
      <c r="H20" s="245"/>
      <c r="I20" s="245"/>
      <c r="J20" s="245"/>
      <c r="K20" s="245"/>
      <c r="L20" s="245"/>
      <c r="M20" s="245"/>
    </row>
    <row r="21" spans="2:13" ht="23.25" thickBot="1" x14ac:dyDescent="0.3">
      <c r="B21" s="101"/>
      <c r="C21" s="101"/>
      <c r="D21" s="235" t="s">
        <v>8</v>
      </c>
      <c r="E21" s="236"/>
      <c r="F21" s="236"/>
      <c r="G21" s="236"/>
      <c r="H21" s="236"/>
      <c r="I21" s="236"/>
      <c r="J21" s="236"/>
      <c r="K21" s="236"/>
      <c r="L21" s="236"/>
      <c r="M21" s="237"/>
    </row>
    <row r="22" spans="2:13" ht="25.5" thickTop="1" thickBot="1" x14ac:dyDescent="0.3">
      <c r="B22" s="238"/>
      <c r="C22" s="238"/>
      <c r="D22" s="105">
        <v>1</v>
      </c>
      <c r="E22" s="106">
        <v>2</v>
      </c>
      <c r="F22" s="106">
        <v>3</v>
      </c>
      <c r="G22" s="106">
        <v>4</v>
      </c>
      <c r="H22" s="106">
        <v>5</v>
      </c>
      <c r="I22" s="106">
        <v>6</v>
      </c>
      <c r="J22" s="106">
        <v>7</v>
      </c>
      <c r="K22" s="106">
        <v>8</v>
      </c>
      <c r="L22" s="106">
        <v>9</v>
      </c>
      <c r="M22" s="107">
        <v>10</v>
      </c>
    </row>
    <row r="23" spans="2:13" ht="24" thickTop="1" thickBot="1" x14ac:dyDescent="0.3">
      <c r="B23" s="235" t="s">
        <v>62</v>
      </c>
      <c r="C23" s="239"/>
      <c r="D23" s="108">
        <f>D10*'Estado de Resultados'!D7</f>
        <v>2400000</v>
      </c>
      <c r="E23" s="109">
        <f>E10*'Estado de Resultados'!E7</f>
        <v>2721600</v>
      </c>
      <c r="F23" s="109">
        <f>F10*'Estado de Resultados'!F7</f>
        <v>3086294.4</v>
      </c>
      <c r="G23" s="109">
        <f>G10*'Estado de Resultados'!G7</f>
        <v>3499857.8495999998</v>
      </c>
      <c r="H23" s="109">
        <f>H10*'Estado de Resultados'!H7</f>
        <v>3968838.8014464001</v>
      </c>
      <c r="I23" s="109">
        <f>I10*'Estado de Resultados'!I7</f>
        <v>4500663.2008402171</v>
      </c>
      <c r="J23" s="109">
        <f>J10*'Estado de Resultados'!J7</f>
        <v>5103752.0697528068</v>
      </c>
      <c r="K23" s="109">
        <f>K10*'Estado de Resultados'!K7</f>
        <v>5787654.8470996823</v>
      </c>
      <c r="L23" s="109">
        <f>L10*'Estado de Resultados'!L7</f>
        <v>6563200.5966110397</v>
      </c>
      <c r="M23" s="110">
        <f>M10*'Estado de Resultados'!M7</f>
        <v>7442669.4765569195</v>
      </c>
    </row>
    <row r="24" spans="2:13" ht="24" thickTop="1" thickBot="1" x14ac:dyDescent="0.3">
      <c r="B24" s="233" t="s">
        <v>63</v>
      </c>
      <c r="C24" s="234"/>
      <c r="D24" s="111">
        <f>D11*'Estado de Resultados'!D7</f>
        <v>1600000</v>
      </c>
      <c r="E24" s="112">
        <f>E11*'Estado de Resultados'!E7</f>
        <v>1814400.0000000002</v>
      </c>
      <c r="F24" s="112">
        <f>F11*'Estado de Resultados'!F7</f>
        <v>2057529.6000000003</v>
      </c>
      <c r="G24" s="112">
        <f>G11*'Estado de Resultados'!G7</f>
        <v>2333238.5664000004</v>
      </c>
      <c r="H24" s="112">
        <f>H11*'Estado de Resultados'!H7</f>
        <v>2645892.5342976004</v>
      </c>
      <c r="I24" s="112">
        <f>I11*'Estado de Resultados'!I7</f>
        <v>3000442.1338934787</v>
      </c>
      <c r="J24" s="112">
        <f>J11*'Estado de Resultados'!J7</f>
        <v>3402501.3798352047</v>
      </c>
      <c r="K24" s="112">
        <f>K11*'Estado de Resultados'!K7</f>
        <v>3858436.5647331225</v>
      </c>
      <c r="L24" s="112">
        <f>L11*'Estado de Resultados'!L7</f>
        <v>4375467.0644073607</v>
      </c>
      <c r="M24" s="113">
        <f>M11*'Estado de Resultados'!M7</f>
        <v>4961779.6510379473</v>
      </c>
    </row>
    <row r="25" spans="2:13" ht="24" thickTop="1" thickBot="1" x14ac:dyDescent="0.3">
      <c r="B25" s="233" t="s">
        <v>64</v>
      </c>
      <c r="C25" s="234"/>
      <c r="D25" s="111">
        <f>D12*'Estado de Resultados'!D7</f>
        <v>1000000</v>
      </c>
      <c r="E25" s="112">
        <f>E12*'Estado de Resultados'!E7</f>
        <v>1134000</v>
      </c>
      <c r="F25" s="112">
        <f>F12*'Estado de Resultados'!F7</f>
        <v>1285956</v>
      </c>
      <c r="G25" s="112">
        <f>G12*'Estado de Resultados'!G7</f>
        <v>1458274.1040000001</v>
      </c>
      <c r="H25" s="112">
        <f>H12*'Estado de Resultados'!H7</f>
        <v>1653682.8339359998</v>
      </c>
      <c r="I25" s="112">
        <f>I12*'Estado de Resultados'!I7</f>
        <v>1875276.3336834239</v>
      </c>
      <c r="J25" s="112">
        <f>J12*'Estado de Resultados'!J7</f>
        <v>2126563.3623970025</v>
      </c>
      <c r="K25" s="112">
        <f>K12*'Estado de Resultados'!K7</f>
        <v>2411522.852958201</v>
      </c>
      <c r="L25" s="112">
        <f>L12*'Estado de Resultados'!L7</f>
        <v>2734666.9152545999</v>
      </c>
      <c r="M25" s="113">
        <f>M12*'Estado de Resultados'!M7</f>
        <v>3101112.281898716</v>
      </c>
    </row>
    <row r="26" spans="2:13" ht="24" thickTop="1" thickBot="1" x14ac:dyDescent="0.3">
      <c r="B26" s="233" t="s">
        <v>65</v>
      </c>
      <c r="C26" s="234"/>
      <c r="D26" s="111">
        <f>D13*'Estado de Resultados'!D7</f>
        <v>1000000</v>
      </c>
      <c r="E26" s="112">
        <f>E13*'Estado de Resultados'!E7</f>
        <v>1134000</v>
      </c>
      <c r="F26" s="112">
        <f>F13*'Estado de Resultados'!F7</f>
        <v>1285956</v>
      </c>
      <c r="G26" s="112">
        <f>G13*'Estado de Resultados'!G7</f>
        <v>1458274.1040000001</v>
      </c>
      <c r="H26" s="112">
        <f>H13*'Estado de Resultados'!H7</f>
        <v>1653682.8339359998</v>
      </c>
      <c r="I26" s="112">
        <f>I13*'Estado de Resultados'!I7</f>
        <v>1875276.3336834239</v>
      </c>
      <c r="J26" s="112">
        <f>J13*'Estado de Resultados'!J7</f>
        <v>2126563.3623970025</v>
      </c>
      <c r="K26" s="112">
        <f>K13*'Estado de Resultados'!K7</f>
        <v>2411522.852958201</v>
      </c>
      <c r="L26" s="112">
        <f>L13*'Estado de Resultados'!L7</f>
        <v>2734666.9152545999</v>
      </c>
      <c r="M26" s="113">
        <f>M13*'Estado de Resultados'!M7</f>
        <v>3101112.281898716</v>
      </c>
    </row>
    <row r="27" spans="2:13" ht="46.5" customHeight="1" thickTop="1" thickBot="1" x14ac:dyDescent="0.3">
      <c r="B27" s="233" t="s">
        <v>66</v>
      </c>
      <c r="C27" s="234"/>
      <c r="D27" s="111">
        <f>D14</f>
        <v>150000</v>
      </c>
      <c r="E27" s="112">
        <f>E14</f>
        <v>162000</v>
      </c>
      <c r="F27" s="112">
        <f t="shared" ref="F27:M27" si="0">F14</f>
        <v>174960</v>
      </c>
      <c r="G27" s="112">
        <f t="shared" si="0"/>
        <v>188956.79999999999</v>
      </c>
      <c r="H27" s="112">
        <f t="shared" si="0"/>
        <v>204073.34399999998</v>
      </c>
      <c r="I27" s="112">
        <f t="shared" si="0"/>
        <v>220399.21151999998</v>
      </c>
      <c r="J27" s="112">
        <f t="shared" si="0"/>
        <v>238031.14844159997</v>
      </c>
      <c r="K27" s="112">
        <f t="shared" si="0"/>
        <v>257073.64031692798</v>
      </c>
      <c r="L27" s="112">
        <f t="shared" si="0"/>
        <v>277639.5315422822</v>
      </c>
      <c r="M27" s="113">
        <f t="shared" si="0"/>
        <v>299850.69406566478</v>
      </c>
    </row>
    <row r="28" spans="2:13" ht="45.75" customHeight="1" thickTop="1" thickBot="1" x14ac:dyDescent="0.3">
      <c r="B28" s="233" t="s">
        <v>67</v>
      </c>
      <c r="C28" s="234"/>
      <c r="D28" s="114">
        <f>SUM(D23:D27)</f>
        <v>6150000</v>
      </c>
      <c r="E28" s="115">
        <f>SUM(E23:E27)</f>
        <v>6966000</v>
      </c>
      <c r="F28" s="115">
        <f t="shared" ref="F28:M28" si="1">SUM(F23:F27)</f>
        <v>7890696</v>
      </c>
      <c r="G28" s="115">
        <f t="shared" si="1"/>
        <v>8938601.4240000006</v>
      </c>
      <c r="H28" s="115">
        <f t="shared" si="1"/>
        <v>10126170.347616002</v>
      </c>
      <c r="I28" s="115">
        <f t="shared" si="1"/>
        <v>11472057.213620543</v>
      </c>
      <c r="J28" s="115">
        <f t="shared" si="1"/>
        <v>12997411.322823616</v>
      </c>
      <c r="K28" s="115">
        <f t="shared" si="1"/>
        <v>14726210.758066135</v>
      </c>
      <c r="L28" s="115">
        <f t="shared" si="1"/>
        <v>16685641.023069885</v>
      </c>
      <c r="M28" s="116">
        <f t="shared" si="1"/>
        <v>18906524.385457963</v>
      </c>
    </row>
    <row r="29" spans="2:13" ht="17.25" thickTop="1" x14ac:dyDescent="0.25"/>
  </sheetData>
  <mergeCells count="18">
    <mergeCell ref="D8:M8"/>
    <mergeCell ref="B3:M3"/>
    <mergeCell ref="B7:M7"/>
    <mergeCell ref="B20:M20"/>
    <mergeCell ref="B14:C14"/>
    <mergeCell ref="B9:C9"/>
    <mergeCell ref="B10:C10"/>
    <mergeCell ref="B11:C11"/>
    <mergeCell ref="B12:C12"/>
    <mergeCell ref="B13:C13"/>
    <mergeCell ref="B27:C27"/>
    <mergeCell ref="B28:C28"/>
    <mergeCell ref="D21:M21"/>
    <mergeCell ref="B22:C22"/>
    <mergeCell ref="B23:C23"/>
    <mergeCell ref="B24:C24"/>
    <mergeCell ref="B25:C25"/>
    <mergeCell ref="B26:C26"/>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23" r:id="rId4" name="Button 27">
              <controlPr defaultSize="0" print="0" autoFill="0" autoPict="0" macro="[0]!INGRESO_D">
                <anchor moveWithCells="1" sizeWithCells="1">
                  <from>
                    <xdr:col>2</xdr:col>
                    <xdr:colOff>628650</xdr:colOff>
                    <xdr:row>0</xdr:row>
                    <xdr:rowOff>85725</xdr:rowOff>
                  </from>
                  <to>
                    <xdr:col>3</xdr:col>
                    <xdr:colOff>390525</xdr:colOff>
                    <xdr:row>0</xdr:row>
                    <xdr:rowOff>485775</xdr:rowOff>
                  </to>
                </anchor>
              </controlPr>
            </control>
          </mc:Choice>
        </mc:AlternateContent>
        <mc:AlternateContent xmlns:mc="http://schemas.openxmlformats.org/markup-compatibility/2006">
          <mc:Choice Requires="x14">
            <control shapeId="4124" r:id="rId5" name="Button 28">
              <controlPr defaultSize="0" print="0" autoFill="0" autoPict="0" macro="[0]!ESTADO_RE">
                <anchor moveWithCells="1" sizeWithCells="1">
                  <from>
                    <xdr:col>7</xdr:col>
                    <xdr:colOff>561975</xdr:colOff>
                    <xdr:row>0</xdr:row>
                    <xdr:rowOff>114300</xdr:rowOff>
                  </from>
                  <to>
                    <xdr:col>8</xdr:col>
                    <xdr:colOff>304800</xdr:colOff>
                    <xdr:row>0</xdr:row>
                    <xdr:rowOff>476250</xdr:rowOff>
                  </to>
                </anchor>
              </controlPr>
            </control>
          </mc:Choice>
        </mc:AlternateContent>
        <mc:AlternateContent xmlns:mc="http://schemas.openxmlformats.org/markup-compatibility/2006">
          <mc:Choice Requires="x14">
            <control shapeId="4126" r:id="rId6" name="Button 30">
              <controlPr defaultSize="0" print="0" autoFill="0" autoPict="0" macro="[0]!DEPRE">
                <anchor moveWithCells="1" sizeWithCells="1">
                  <from>
                    <xdr:col>3</xdr:col>
                    <xdr:colOff>885825</xdr:colOff>
                    <xdr:row>0</xdr:row>
                    <xdr:rowOff>114300</xdr:rowOff>
                  </from>
                  <to>
                    <xdr:col>4</xdr:col>
                    <xdr:colOff>762000</xdr:colOff>
                    <xdr:row>0</xdr:row>
                    <xdr:rowOff>466725</xdr:rowOff>
                  </to>
                </anchor>
              </controlPr>
            </control>
          </mc:Choice>
        </mc:AlternateContent>
        <mc:AlternateContent xmlns:mc="http://schemas.openxmlformats.org/markup-compatibility/2006">
          <mc:Choice Requires="x14">
            <control shapeId="4127" r:id="rId7" name="Button 31">
              <controlPr defaultSize="0" print="0" autoFill="0" autoPict="0" macro="[0]!GASTOS">
                <anchor moveWithCells="1" sizeWithCells="1">
                  <from>
                    <xdr:col>5</xdr:col>
                    <xdr:colOff>304800</xdr:colOff>
                    <xdr:row>0</xdr:row>
                    <xdr:rowOff>123825</xdr:rowOff>
                  </from>
                  <to>
                    <xdr:col>6</xdr:col>
                    <xdr:colOff>904875</xdr:colOff>
                    <xdr:row>0</xdr:row>
                    <xdr:rowOff>485775</xdr:rowOff>
                  </to>
                </anchor>
              </controlPr>
            </control>
          </mc:Choice>
        </mc:AlternateContent>
        <mc:AlternateContent xmlns:mc="http://schemas.openxmlformats.org/markup-compatibility/2006">
          <mc:Choice Requires="x14">
            <control shapeId="4128" r:id="rId8" name="Button 32">
              <controlPr defaultSize="0" print="0" autoFill="0" autoPict="0" macro="[0]!FLUJOS">
                <anchor moveWithCells="1" sizeWithCells="1">
                  <from>
                    <xdr:col>8</xdr:col>
                    <xdr:colOff>523875</xdr:colOff>
                    <xdr:row>0</xdr:row>
                    <xdr:rowOff>114300</xdr:rowOff>
                  </from>
                  <to>
                    <xdr:col>9</xdr:col>
                    <xdr:colOff>95250</xdr:colOff>
                    <xdr:row>0</xdr:row>
                    <xdr:rowOff>476250</xdr:rowOff>
                  </to>
                </anchor>
              </controlPr>
            </control>
          </mc:Choice>
        </mc:AlternateContent>
        <mc:AlternateContent xmlns:mc="http://schemas.openxmlformats.org/markup-compatibility/2006">
          <mc:Choice Requires="x14">
            <control shapeId="4129" r:id="rId9" name="Button 33">
              <controlPr defaultSize="0" print="0" autoFill="0" autoPict="0" macro="[0]!METODOS">
                <anchor moveWithCells="1" sizeWithCells="1">
                  <from>
                    <xdr:col>9</xdr:col>
                    <xdr:colOff>342900</xdr:colOff>
                    <xdr:row>0</xdr:row>
                    <xdr:rowOff>114300</xdr:rowOff>
                  </from>
                  <to>
                    <xdr:col>11</xdr:col>
                    <xdr:colOff>0</xdr:colOff>
                    <xdr:row>0</xdr:row>
                    <xdr:rowOff>476250</xdr:rowOff>
                  </to>
                </anchor>
              </controlPr>
            </control>
          </mc:Choice>
        </mc:AlternateContent>
        <mc:AlternateContent xmlns:mc="http://schemas.openxmlformats.org/markup-compatibility/2006">
          <mc:Choice Requires="x14">
            <control shapeId="4130" r:id="rId10" name="Button 34">
              <controlPr defaultSize="0" print="0" autoFill="0" autoPict="0" macro="[0]!PORTADA">
                <anchor moveWithCells="1" sizeWithCells="1">
                  <from>
                    <xdr:col>0</xdr:col>
                    <xdr:colOff>95250</xdr:colOff>
                    <xdr:row>0</xdr:row>
                    <xdr:rowOff>114300</xdr:rowOff>
                  </from>
                  <to>
                    <xdr:col>1</xdr:col>
                    <xdr:colOff>266700</xdr:colOff>
                    <xdr:row>0</xdr:row>
                    <xdr:rowOff>476250</xdr:rowOff>
                  </to>
                </anchor>
              </controlPr>
            </control>
          </mc:Choice>
        </mc:AlternateContent>
        <mc:AlternateContent xmlns:mc="http://schemas.openxmlformats.org/markup-compatibility/2006">
          <mc:Choice Requires="x14">
            <control shapeId="4131" r:id="rId11" name="Button 35">
              <controlPr defaultSize="0" print="0" autoFill="0" autoPict="0" macro="[0]!Informe">
                <anchor moveWithCells="1" sizeWithCells="1">
                  <from>
                    <xdr:col>11</xdr:col>
                    <xdr:colOff>276225</xdr:colOff>
                    <xdr:row>0</xdr:row>
                    <xdr:rowOff>114300</xdr:rowOff>
                  </from>
                  <to>
                    <xdr:col>11</xdr:col>
                    <xdr:colOff>1143000</xdr:colOff>
                    <xdr:row>0</xdr:row>
                    <xdr:rowOff>485775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6"/>
  <dimension ref="B1:M14"/>
  <sheetViews>
    <sheetView zoomScale="68" zoomScaleNormal="68" workbookViewId="0">
      <pane ySplit="1" topLeftCell="A2" activePane="bottomLeft" state="frozen"/>
      <selection pane="bottomLeft" activeCell="A3" sqref="A3"/>
    </sheetView>
  </sheetViews>
  <sheetFormatPr baseColWidth="10" defaultRowHeight="16.5" x14ac:dyDescent="0.3"/>
  <cols>
    <col min="1" max="1" width="11.42578125" style="10"/>
    <col min="2" max="2" width="11" style="10" customWidth="1"/>
    <col min="3" max="4" width="13.28515625" style="10" customWidth="1"/>
    <col min="5" max="5" width="19.28515625" style="10" bestFit="1" customWidth="1"/>
    <col min="6" max="8" width="11.42578125" style="10"/>
    <col min="9" max="9" width="14.5703125" style="10" bestFit="1" customWidth="1"/>
    <col min="10" max="10" width="11.42578125" style="10"/>
    <col min="11" max="11" width="18.28515625" style="10" bestFit="1" customWidth="1"/>
    <col min="12" max="12" width="12.140625" style="10" customWidth="1"/>
    <col min="13" max="16384" width="11.42578125" style="10"/>
  </cols>
  <sheetData>
    <row r="1" spans="2:13" s="125" customFormat="1" ht="46.5" customHeight="1" thickBot="1" x14ac:dyDescent="0.35"/>
    <row r="2" spans="2:13" ht="17.25" thickTop="1" x14ac:dyDescent="0.3"/>
    <row r="3" spans="2:13" ht="38.25" thickBot="1" x14ac:dyDescent="0.65">
      <c r="B3" s="252" t="s">
        <v>49</v>
      </c>
      <c r="C3" s="252"/>
      <c r="D3" s="252"/>
      <c r="E3" s="252"/>
      <c r="F3" s="252"/>
      <c r="G3" s="252"/>
      <c r="H3" s="252"/>
      <c r="I3" s="252"/>
      <c r="J3" s="252"/>
      <c r="K3" s="252"/>
      <c r="L3" s="252"/>
      <c r="M3" s="252"/>
    </row>
    <row r="4" spans="2:13" ht="18" thickTop="1" thickBot="1" x14ac:dyDescent="0.35"/>
    <row r="5" spans="2:13" ht="25.5" thickTop="1" thickBot="1" x14ac:dyDescent="0.35">
      <c r="C5" s="263" t="s">
        <v>50</v>
      </c>
      <c r="D5" s="264"/>
      <c r="E5" s="117">
        <f>Datos!I5</f>
        <v>500000</v>
      </c>
    </row>
    <row r="6" spans="2:13" ht="19.5" customHeight="1" thickTop="1" thickBot="1" x14ac:dyDescent="0.35">
      <c r="C6" s="261" t="s">
        <v>51</v>
      </c>
      <c r="D6" s="262"/>
      <c r="E6" s="118">
        <v>30</v>
      </c>
    </row>
    <row r="7" spans="2:13" ht="19.5" customHeight="1" thickTop="1" thickBot="1" x14ac:dyDescent="0.35">
      <c r="C7" s="261" t="s">
        <v>52</v>
      </c>
      <c r="D7" s="262"/>
      <c r="E7" s="119">
        <f>E5/E6</f>
        <v>16666.666666666668</v>
      </c>
      <c r="F7" s="58"/>
      <c r="G7" s="58"/>
    </row>
    <row r="8" spans="2:13" ht="21" customHeight="1" thickTop="1" x14ac:dyDescent="0.3">
      <c r="I8" s="253" t="s">
        <v>55</v>
      </c>
      <c r="J8" s="254"/>
      <c r="K8" s="257">
        <f>E7+E13</f>
        <v>196666.66666666666</v>
      </c>
    </row>
    <row r="9" spans="2:13" ht="27.75" customHeight="1" thickBot="1" x14ac:dyDescent="0.35">
      <c r="I9" s="255"/>
      <c r="J9" s="256"/>
      <c r="K9" s="258"/>
    </row>
    <row r="10" spans="2:13" ht="25.5" thickTop="1" thickBot="1" x14ac:dyDescent="0.4">
      <c r="C10" s="265" t="s">
        <v>53</v>
      </c>
      <c r="D10" s="266"/>
      <c r="E10" s="120">
        <f>Datos!I7</f>
        <v>1000000</v>
      </c>
    </row>
    <row r="11" spans="2:13" ht="25.5" thickTop="1" thickBot="1" x14ac:dyDescent="0.4">
      <c r="C11" s="265" t="s">
        <v>54</v>
      </c>
      <c r="D11" s="266"/>
      <c r="E11" s="121">
        <v>100000</v>
      </c>
    </row>
    <row r="12" spans="2:13" ht="23.25" customHeight="1" thickTop="1" thickBot="1" x14ac:dyDescent="0.4">
      <c r="C12" s="259" t="s">
        <v>51</v>
      </c>
      <c r="D12" s="260"/>
      <c r="E12" s="118">
        <v>5</v>
      </c>
    </row>
    <row r="13" spans="2:13" ht="22.5" customHeight="1" thickTop="1" thickBot="1" x14ac:dyDescent="0.4">
      <c r="C13" s="259" t="s">
        <v>52</v>
      </c>
      <c r="D13" s="260"/>
      <c r="E13" s="122">
        <f>(E10-E11)/E12</f>
        <v>180000</v>
      </c>
      <c r="F13" s="58"/>
      <c r="G13" s="58"/>
    </row>
    <row r="14" spans="2:13" ht="17.25" thickTop="1" x14ac:dyDescent="0.3"/>
  </sheetData>
  <mergeCells count="10">
    <mergeCell ref="B3:M3"/>
    <mergeCell ref="I8:J9"/>
    <mergeCell ref="K8:K9"/>
    <mergeCell ref="C12:D12"/>
    <mergeCell ref="C13:D13"/>
    <mergeCell ref="C6:D6"/>
    <mergeCell ref="C7:D7"/>
    <mergeCell ref="C5:D5"/>
    <mergeCell ref="C10:D10"/>
    <mergeCell ref="C11:D11"/>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48" r:id="rId3" name="Button 28">
              <controlPr defaultSize="0" print="0" autoFill="0" autoPict="0" macro="[0]!INGRESO_D">
                <anchor moveWithCells="1" sizeWithCells="1">
                  <from>
                    <xdr:col>4</xdr:col>
                    <xdr:colOff>238125</xdr:colOff>
                    <xdr:row>0</xdr:row>
                    <xdr:rowOff>114300</xdr:rowOff>
                  </from>
                  <to>
                    <xdr:col>5</xdr:col>
                    <xdr:colOff>247650</xdr:colOff>
                    <xdr:row>0</xdr:row>
                    <xdr:rowOff>571500</xdr:rowOff>
                  </to>
                </anchor>
              </controlPr>
            </control>
          </mc:Choice>
        </mc:AlternateContent>
        <mc:AlternateContent xmlns:mc="http://schemas.openxmlformats.org/markup-compatibility/2006">
          <mc:Choice Requires="x14">
            <control shapeId="5149" r:id="rId4" name="Button 29">
              <controlPr defaultSize="0" print="0" autoFill="0" autoPict="0" macro="[0]!ESTADO_RE">
                <anchor moveWithCells="1" sizeWithCells="1">
                  <from>
                    <xdr:col>10</xdr:col>
                    <xdr:colOff>447675</xdr:colOff>
                    <xdr:row>0</xdr:row>
                    <xdr:rowOff>114300</xdr:rowOff>
                  </from>
                  <to>
                    <xdr:col>11</xdr:col>
                    <xdr:colOff>314325</xdr:colOff>
                    <xdr:row>0</xdr:row>
                    <xdr:rowOff>476250</xdr:rowOff>
                  </to>
                </anchor>
              </controlPr>
            </control>
          </mc:Choice>
        </mc:AlternateContent>
        <mc:AlternateContent xmlns:mc="http://schemas.openxmlformats.org/markup-compatibility/2006">
          <mc:Choice Requires="x14">
            <control shapeId="5150" r:id="rId5" name="Button 30">
              <controlPr defaultSize="0" print="0" autoFill="0" autoPict="0" macro="[0]!COSTO_PRO">
                <anchor moveWithCells="1" sizeWithCells="1">
                  <from>
                    <xdr:col>6</xdr:col>
                    <xdr:colOff>161925</xdr:colOff>
                    <xdr:row>0</xdr:row>
                    <xdr:rowOff>85725</xdr:rowOff>
                  </from>
                  <to>
                    <xdr:col>7</xdr:col>
                    <xdr:colOff>714375</xdr:colOff>
                    <xdr:row>0</xdr:row>
                    <xdr:rowOff>533400</xdr:rowOff>
                  </to>
                </anchor>
              </controlPr>
            </control>
          </mc:Choice>
        </mc:AlternateContent>
        <mc:AlternateContent xmlns:mc="http://schemas.openxmlformats.org/markup-compatibility/2006">
          <mc:Choice Requires="x14">
            <control shapeId="5152" r:id="rId6" name="Button 32">
              <controlPr defaultSize="0" print="0" autoFill="0" autoPict="0" macro="[0]!GASTOS">
                <anchor moveWithCells="1" sizeWithCells="1">
                  <from>
                    <xdr:col>8</xdr:col>
                    <xdr:colOff>371475</xdr:colOff>
                    <xdr:row>0</xdr:row>
                    <xdr:rowOff>114300</xdr:rowOff>
                  </from>
                  <to>
                    <xdr:col>10</xdr:col>
                    <xdr:colOff>276225</xdr:colOff>
                    <xdr:row>0</xdr:row>
                    <xdr:rowOff>476250</xdr:rowOff>
                  </to>
                </anchor>
              </controlPr>
            </control>
          </mc:Choice>
        </mc:AlternateContent>
        <mc:AlternateContent xmlns:mc="http://schemas.openxmlformats.org/markup-compatibility/2006">
          <mc:Choice Requires="x14">
            <control shapeId="5153" r:id="rId7" name="Button 33">
              <controlPr defaultSize="0" print="0" autoFill="0" autoPict="0" macro="[0]!FLUJOS">
                <anchor moveWithCells="1" sizeWithCells="1">
                  <from>
                    <xdr:col>11</xdr:col>
                    <xdr:colOff>533400</xdr:colOff>
                    <xdr:row>0</xdr:row>
                    <xdr:rowOff>114300</xdr:rowOff>
                  </from>
                  <to>
                    <xdr:col>12</xdr:col>
                    <xdr:colOff>552450</xdr:colOff>
                    <xdr:row>0</xdr:row>
                    <xdr:rowOff>476250</xdr:rowOff>
                  </to>
                </anchor>
              </controlPr>
            </control>
          </mc:Choice>
        </mc:AlternateContent>
        <mc:AlternateContent xmlns:mc="http://schemas.openxmlformats.org/markup-compatibility/2006">
          <mc:Choice Requires="x14">
            <control shapeId="5154" r:id="rId8" name="Button 34">
              <controlPr defaultSize="0" print="0" autoFill="0" autoPict="0" macro="[0]!METODOS">
                <anchor moveWithCells="1" sizeWithCells="1">
                  <from>
                    <xdr:col>13</xdr:col>
                    <xdr:colOff>38100</xdr:colOff>
                    <xdr:row>0</xdr:row>
                    <xdr:rowOff>114300</xdr:rowOff>
                  </from>
                  <to>
                    <xdr:col>15</xdr:col>
                    <xdr:colOff>685800</xdr:colOff>
                    <xdr:row>0</xdr:row>
                    <xdr:rowOff>476250</xdr:rowOff>
                  </to>
                </anchor>
              </controlPr>
            </control>
          </mc:Choice>
        </mc:AlternateContent>
        <mc:AlternateContent xmlns:mc="http://schemas.openxmlformats.org/markup-compatibility/2006">
          <mc:Choice Requires="x14">
            <control shapeId="5155" r:id="rId9" name="Button 35">
              <controlPr defaultSize="0" print="0" autoFill="0" autoPict="0" macro="[0]!PORTADA">
                <anchor moveWithCells="1" sizeWithCells="1">
                  <from>
                    <xdr:col>0</xdr:col>
                    <xdr:colOff>95250</xdr:colOff>
                    <xdr:row>0</xdr:row>
                    <xdr:rowOff>114300</xdr:rowOff>
                  </from>
                  <to>
                    <xdr:col>1</xdr:col>
                    <xdr:colOff>266700</xdr:colOff>
                    <xdr:row>0</xdr:row>
                    <xdr:rowOff>476250</xdr:rowOff>
                  </to>
                </anchor>
              </controlPr>
            </control>
          </mc:Choice>
        </mc:AlternateContent>
        <mc:AlternateContent xmlns:mc="http://schemas.openxmlformats.org/markup-compatibility/2006">
          <mc:Choice Requires="x14">
            <control shapeId="5156" r:id="rId10" name="Button 36">
              <controlPr defaultSize="0" print="0" autoFill="0" autoPict="0" macro="[0]!Informe">
                <anchor moveWithCells="1" sizeWithCells="1">
                  <from>
                    <xdr:col>16</xdr:col>
                    <xdr:colOff>200025</xdr:colOff>
                    <xdr:row>0</xdr:row>
                    <xdr:rowOff>114300</xdr:rowOff>
                  </from>
                  <to>
                    <xdr:col>17</xdr:col>
                    <xdr:colOff>304800</xdr:colOff>
                    <xdr:row>0</xdr:row>
                    <xdr:rowOff>485775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dimension ref="B1:XFD18"/>
  <sheetViews>
    <sheetView zoomScale="70" zoomScaleNormal="70" workbookViewId="0">
      <pane ySplit="1" topLeftCell="A2" activePane="bottomLeft" state="frozen"/>
      <selection pane="bottomLeft" activeCell="A3" sqref="A3"/>
    </sheetView>
  </sheetViews>
  <sheetFormatPr baseColWidth="10" defaultRowHeight="16.5" x14ac:dyDescent="0.3"/>
  <cols>
    <col min="1" max="1" width="11.42578125" style="10"/>
    <col min="2" max="2" width="11.5703125" style="10" bestFit="1" customWidth="1"/>
    <col min="3" max="7" width="19.5703125" style="10" bestFit="1" customWidth="1"/>
    <col min="8" max="8" width="19.28515625" style="10" bestFit="1" customWidth="1"/>
    <col min="9" max="9" width="19.5703125" style="10" bestFit="1" customWidth="1"/>
    <col min="10" max="12" width="19.28515625" style="10" bestFit="1" customWidth="1"/>
    <col min="13" max="16383" width="11.42578125" style="10"/>
    <col min="16384" max="16384" width="11.5703125" style="10" bestFit="1" customWidth="1"/>
  </cols>
  <sheetData>
    <row r="1" spans="2:14 16384:16384" s="125" customFormat="1" ht="46.5" customHeight="1" thickBot="1" x14ac:dyDescent="0.35"/>
    <row r="2" spans="2:14 16384:16384" s="126" customFormat="1" ht="15" customHeight="1" thickTop="1" x14ac:dyDescent="0.3"/>
    <row r="3" spans="2:14 16384:16384" ht="50.25" thickBot="1" x14ac:dyDescent="0.85">
      <c r="B3" s="270" t="s">
        <v>9</v>
      </c>
      <c r="C3" s="271"/>
      <c r="D3" s="271"/>
      <c r="E3" s="271"/>
      <c r="F3" s="271"/>
      <c r="G3" s="271"/>
    </row>
    <row r="4" spans="2:14 16384:16384" ht="17.25" thickTop="1" x14ac:dyDescent="0.3"/>
    <row r="5" spans="2:14 16384:16384" ht="17.25" thickBot="1" x14ac:dyDescent="0.35"/>
    <row r="6" spans="2:14 16384:16384" ht="25.5" thickTop="1" thickBot="1" x14ac:dyDescent="0.35">
      <c r="B6" s="132"/>
      <c r="C6" s="267" t="s">
        <v>8</v>
      </c>
      <c r="D6" s="268"/>
      <c r="E6" s="268"/>
      <c r="F6" s="268"/>
      <c r="G6" s="268"/>
      <c r="H6" s="268"/>
      <c r="I6" s="268"/>
      <c r="J6" s="268"/>
      <c r="K6" s="268"/>
      <c r="L6" s="269"/>
    </row>
    <row r="7" spans="2:14 16384:16384" ht="25.5" thickTop="1" thickBot="1" x14ac:dyDescent="0.35">
      <c r="B7" s="133" t="s">
        <v>18</v>
      </c>
      <c r="C7" s="102">
        <v>1</v>
      </c>
      <c r="D7" s="103">
        <v>2</v>
      </c>
      <c r="E7" s="103">
        <v>3</v>
      </c>
      <c r="F7" s="103">
        <v>4</v>
      </c>
      <c r="G7" s="103">
        <v>5</v>
      </c>
      <c r="H7" s="103">
        <v>6</v>
      </c>
      <c r="I7" s="103">
        <v>7</v>
      </c>
      <c r="J7" s="103">
        <v>8</v>
      </c>
      <c r="K7" s="103">
        <v>9</v>
      </c>
      <c r="L7" s="104">
        <v>10</v>
      </c>
      <c r="XFD7" s="10">
        <v>6</v>
      </c>
    </row>
    <row r="8" spans="2:14 16384:16384" ht="25.5" thickTop="1" thickBot="1" x14ac:dyDescent="0.35">
      <c r="B8" s="135">
        <v>100</v>
      </c>
      <c r="C8" s="136">
        <f>Datos!I13*'Estado de Resultados'!D7</f>
        <v>2000000</v>
      </c>
      <c r="D8" s="137">
        <f>C8+(C8*Datos!$I$15)</f>
        <v>2100000</v>
      </c>
      <c r="E8" s="137">
        <f>D8+(D8*Datos!$I$15)</f>
        <v>2205000</v>
      </c>
      <c r="F8" s="137">
        <f>E8+(E8*Datos!$I$15)</f>
        <v>2315250</v>
      </c>
      <c r="G8" s="137">
        <f>F8+(F8*Datos!$I$15)</f>
        <v>2431012.5</v>
      </c>
      <c r="H8" s="137">
        <f>G8+(G8*Datos!$I$15)</f>
        <v>2552563.125</v>
      </c>
      <c r="I8" s="137">
        <f>H8+(H8*Datos!$I$15)</f>
        <v>2680191.28125</v>
      </c>
      <c r="J8" s="137">
        <f>I8+(I8*Datos!$I$15)</f>
        <v>2814200.8453124999</v>
      </c>
      <c r="K8" s="137">
        <f>J8+(J8*Datos!$I$15)</f>
        <v>2954910.8875781251</v>
      </c>
      <c r="L8" s="138">
        <f>K8+(K8*Datos!$I$15)</f>
        <v>3102656.4319570316</v>
      </c>
    </row>
    <row r="9" spans="2:14 16384:16384" ht="17.25" thickTop="1" x14ac:dyDescent="0.3"/>
    <row r="12" spans="2:14 16384:16384" ht="50.25" thickBot="1" x14ac:dyDescent="0.85">
      <c r="B12" s="270" t="s">
        <v>19</v>
      </c>
      <c r="C12" s="271"/>
      <c r="D12" s="271"/>
      <c r="E12" s="271"/>
      <c r="F12" s="271"/>
      <c r="G12" s="271"/>
    </row>
    <row r="13" spans="2:14 16384:16384" ht="17.25" thickTop="1" x14ac:dyDescent="0.3">
      <c r="B13" s="129"/>
      <c r="C13" s="129"/>
      <c r="D13" s="129"/>
      <c r="E13" s="129"/>
      <c r="F13" s="129"/>
      <c r="G13" s="129"/>
    </row>
    <row r="14" spans="2:14 16384:16384" ht="17.25" thickBot="1" x14ac:dyDescent="0.35">
      <c r="B14" s="129"/>
      <c r="C14" s="130"/>
      <c r="D14" s="130"/>
      <c r="E14" s="130"/>
      <c r="F14" s="130"/>
      <c r="G14" s="130"/>
    </row>
    <row r="15" spans="2:14 16384:16384" ht="25.5" thickTop="1" thickBot="1" x14ac:dyDescent="0.35">
      <c r="B15" s="134"/>
      <c r="C15" s="267" t="s">
        <v>8</v>
      </c>
      <c r="D15" s="268"/>
      <c r="E15" s="268"/>
      <c r="F15" s="268"/>
      <c r="G15" s="268"/>
      <c r="H15" s="268"/>
      <c r="I15" s="268"/>
      <c r="J15" s="268"/>
      <c r="K15" s="268"/>
      <c r="L15" s="269"/>
      <c r="N15" s="131"/>
    </row>
    <row r="16" spans="2:14 16384:16384" ht="25.5" thickTop="1" thickBot="1" x14ac:dyDescent="0.35">
      <c r="B16" s="133" t="s">
        <v>18</v>
      </c>
      <c r="C16" s="102">
        <v>1</v>
      </c>
      <c r="D16" s="103">
        <v>2</v>
      </c>
      <c r="E16" s="103">
        <v>3</v>
      </c>
      <c r="F16" s="103">
        <v>4</v>
      </c>
      <c r="G16" s="103">
        <v>5</v>
      </c>
      <c r="H16" s="103">
        <v>6</v>
      </c>
      <c r="I16" s="103">
        <v>7</v>
      </c>
      <c r="J16" s="103">
        <v>8</v>
      </c>
      <c r="K16" s="103">
        <v>9</v>
      </c>
      <c r="L16" s="104">
        <v>10</v>
      </c>
    </row>
    <row r="17" spans="2:12" ht="25.5" thickTop="1" thickBot="1" x14ac:dyDescent="0.35">
      <c r="B17" s="135">
        <v>200</v>
      </c>
      <c r="C17" s="136">
        <f>B17*'Estado de Resultados'!D7</f>
        <v>4000000</v>
      </c>
      <c r="D17" s="137">
        <f>C17+(C17*Datos!$I$15)</f>
        <v>4200000</v>
      </c>
      <c r="E17" s="137">
        <f>D17+(D17*Datos!$I$15)</f>
        <v>4410000</v>
      </c>
      <c r="F17" s="137">
        <f>E17+(E17*Datos!$I$15)</f>
        <v>4630500</v>
      </c>
      <c r="G17" s="137">
        <f>F17+(F17*Datos!$I$15)</f>
        <v>4862025</v>
      </c>
      <c r="H17" s="137">
        <f>G17+(G17*Datos!$I$15)</f>
        <v>5105126.25</v>
      </c>
      <c r="I17" s="137">
        <f>H17+(H17*Datos!$I$15)</f>
        <v>5360382.5625</v>
      </c>
      <c r="J17" s="137">
        <f>I17+(I17*Datos!$I$15)</f>
        <v>5628401.6906249998</v>
      </c>
      <c r="K17" s="137">
        <f>J17+(J17*Datos!$I$15)</f>
        <v>5909821.7751562502</v>
      </c>
      <c r="L17" s="138">
        <f>K17+(K17*Datos!$I$15)</f>
        <v>6205312.8639140632</v>
      </c>
    </row>
    <row r="18" spans="2:12" ht="17.25" thickTop="1" x14ac:dyDescent="0.3"/>
  </sheetData>
  <mergeCells count="4">
    <mergeCell ref="C6:L6"/>
    <mergeCell ref="C15:L15"/>
    <mergeCell ref="B3:G3"/>
    <mergeCell ref="B12:G1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63" r:id="rId4" name="Button 19">
              <controlPr defaultSize="0" print="0" autoFill="0" autoPict="0" macro="[0]!INGRESO_D">
                <anchor moveWithCells="1" sizeWithCells="1">
                  <from>
                    <xdr:col>3</xdr:col>
                    <xdr:colOff>219075</xdr:colOff>
                    <xdr:row>0</xdr:row>
                    <xdr:rowOff>104775</xdr:rowOff>
                  </from>
                  <to>
                    <xdr:col>4</xdr:col>
                    <xdr:colOff>704850</xdr:colOff>
                    <xdr:row>0</xdr:row>
                    <xdr:rowOff>466725</xdr:rowOff>
                  </to>
                </anchor>
              </controlPr>
            </control>
          </mc:Choice>
        </mc:AlternateContent>
        <mc:AlternateContent xmlns:mc="http://schemas.openxmlformats.org/markup-compatibility/2006">
          <mc:Choice Requires="x14">
            <control shapeId="6164" r:id="rId5" name="Button 20">
              <controlPr defaultSize="0" print="0" autoFill="0" autoPict="0" macro="[0]!ESTADO_RE">
                <anchor moveWithCells="1" sizeWithCells="1">
                  <from>
                    <xdr:col>8</xdr:col>
                    <xdr:colOff>171450</xdr:colOff>
                    <xdr:row>0</xdr:row>
                    <xdr:rowOff>114300</xdr:rowOff>
                  </from>
                  <to>
                    <xdr:col>9</xdr:col>
                    <xdr:colOff>0</xdr:colOff>
                    <xdr:row>0</xdr:row>
                    <xdr:rowOff>476250</xdr:rowOff>
                  </to>
                </anchor>
              </controlPr>
            </control>
          </mc:Choice>
        </mc:AlternateContent>
        <mc:AlternateContent xmlns:mc="http://schemas.openxmlformats.org/markup-compatibility/2006">
          <mc:Choice Requires="x14">
            <control shapeId="6165" r:id="rId6" name="Button 21">
              <controlPr defaultSize="0" print="0" autoFill="0" autoPict="0" macro="[0]!COSTO_PRO">
                <anchor moveWithCells="1" sizeWithCells="1">
                  <from>
                    <xdr:col>4</xdr:col>
                    <xdr:colOff>981075</xdr:colOff>
                    <xdr:row>0</xdr:row>
                    <xdr:rowOff>85725</xdr:rowOff>
                  </from>
                  <to>
                    <xdr:col>6</xdr:col>
                    <xdr:colOff>142875</xdr:colOff>
                    <xdr:row>0</xdr:row>
                    <xdr:rowOff>447675</xdr:rowOff>
                  </to>
                </anchor>
              </controlPr>
            </control>
          </mc:Choice>
        </mc:AlternateContent>
        <mc:AlternateContent xmlns:mc="http://schemas.openxmlformats.org/markup-compatibility/2006">
          <mc:Choice Requires="x14">
            <control shapeId="6166" r:id="rId7" name="Button 22">
              <controlPr defaultSize="0" print="0" autoFill="0" autoPict="0" macro="[0]!DEPRE">
                <anchor moveWithCells="1" sizeWithCells="1">
                  <from>
                    <xdr:col>6</xdr:col>
                    <xdr:colOff>504825</xdr:colOff>
                    <xdr:row>0</xdr:row>
                    <xdr:rowOff>104775</xdr:rowOff>
                  </from>
                  <to>
                    <xdr:col>7</xdr:col>
                    <xdr:colOff>971550</xdr:colOff>
                    <xdr:row>0</xdr:row>
                    <xdr:rowOff>466725</xdr:rowOff>
                  </to>
                </anchor>
              </controlPr>
            </control>
          </mc:Choice>
        </mc:AlternateContent>
        <mc:AlternateContent xmlns:mc="http://schemas.openxmlformats.org/markup-compatibility/2006">
          <mc:Choice Requires="x14">
            <control shapeId="6168" r:id="rId8" name="Button 24">
              <controlPr defaultSize="0" print="0" autoFill="0" autoPict="0" macro="[0]!FLUJOS">
                <anchor moveWithCells="1" sizeWithCells="1">
                  <from>
                    <xdr:col>9</xdr:col>
                    <xdr:colOff>219075</xdr:colOff>
                    <xdr:row>0</xdr:row>
                    <xdr:rowOff>114300</xdr:rowOff>
                  </from>
                  <to>
                    <xdr:col>9</xdr:col>
                    <xdr:colOff>1047750</xdr:colOff>
                    <xdr:row>0</xdr:row>
                    <xdr:rowOff>476250</xdr:rowOff>
                  </to>
                </anchor>
              </controlPr>
            </control>
          </mc:Choice>
        </mc:AlternateContent>
        <mc:AlternateContent xmlns:mc="http://schemas.openxmlformats.org/markup-compatibility/2006">
          <mc:Choice Requires="x14">
            <control shapeId="6169" r:id="rId9" name="Button 25">
              <controlPr defaultSize="0" print="0" autoFill="0" autoPict="0" macro="[0]!METODOS">
                <anchor moveWithCells="1" sizeWithCells="1">
                  <from>
                    <xdr:col>10</xdr:col>
                    <xdr:colOff>123825</xdr:colOff>
                    <xdr:row>0</xdr:row>
                    <xdr:rowOff>114300</xdr:rowOff>
                  </from>
                  <to>
                    <xdr:col>11</xdr:col>
                    <xdr:colOff>1123950</xdr:colOff>
                    <xdr:row>0</xdr:row>
                    <xdr:rowOff>476250</xdr:rowOff>
                  </to>
                </anchor>
              </controlPr>
            </control>
          </mc:Choice>
        </mc:AlternateContent>
        <mc:AlternateContent xmlns:mc="http://schemas.openxmlformats.org/markup-compatibility/2006">
          <mc:Choice Requires="x14">
            <control shapeId="6170" r:id="rId10" name="Button 26">
              <controlPr defaultSize="0" print="0" autoFill="0" autoPict="0" macro="[0]!PORTADA">
                <anchor moveWithCells="1" sizeWithCells="1">
                  <from>
                    <xdr:col>0</xdr:col>
                    <xdr:colOff>95250</xdr:colOff>
                    <xdr:row>0</xdr:row>
                    <xdr:rowOff>114300</xdr:rowOff>
                  </from>
                  <to>
                    <xdr:col>1</xdr:col>
                    <xdr:colOff>266700</xdr:colOff>
                    <xdr:row>0</xdr:row>
                    <xdr:rowOff>476250</xdr:rowOff>
                  </to>
                </anchor>
              </controlPr>
            </control>
          </mc:Choice>
        </mc:AlternateContent>
        <mc:AlternateContent xmlns:mc="http://schemas.openxmlformats.org/markup-compatibility/2006">
          <mc:Choice Requires="x14">
            <control shapeId="6171" r:id="rId11" name="Button 27">
              <controlPr defaultSize="0" print="0" autoFill="0" autoPict="0" macro="[0]!Informe">
                <anchor moveWithCells="1" sizeWithCells="1">
                  <from>
                    <xdr:col>12</xdr:col>
                    <xdr:colOff>228600</xdr:colOff>
                    <xdr:row>0</xdr:row>
                    <xdr:rowOff>114300</xdr:rowOff>
                  </from>
                  <to>
                    <xdr:col>13</xdr:col>
                    <xdr:colOff>333375</xdr:colOff>
                    <xdr:row>0</xdr:row>
                    <xdr:rowOff>485775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AB136"/>
  <sheetViews>
    <sheetView zoomScale="70" zoomScaleNormal="70" workbookViewId="0">
      <pane ySplit="1" topLeftCell="A2" activePane="bottomLeft" state="frozen"/>
      <selection pane="bottomLeft" activeCell="A3" sqref="A3"/>
    </sheetView>
  </sheetViews>
  <sheetFormatPr baseColWidth="10" defaultRowHeight="16.5" x14ac:dyDescent="0.3"/>
  <cols>
    <col min="1" max="1" width="7.140625" style="10" customWidth="1"/>
    <col min="2" max="2" width="40" style="10" bestFit="1" customWidth="1"/>
    <col min="3" max="3" width="25.28515625" style="10" customWidth="1"/>
    <col min="4" max="12" width="22" style="10" bestFit="1" customWidth="1"/>
    <col min="13" max="13" width="13.7109375" style="10" customWidth="1"/>
    <col min="14" max="18" width="11.42578125" style="10"/>
    <col min="19" max="19" width="14.28515625" style="10" customWidth="1"/>
    <col min="20" max="20" width="14.7109375" style="10" customWidth="1"/>
    <col min="21" max="21" width="12.85546875" style="10" customWidth="1"/>
    <col min="22" max="22" width="14.140625" style="10" customWidth="1"/>
    <col min="23" max="23" width="13" style="10" customWidth="1"/>
    <col min="24" max="24" width="14.7109375" style="10" customWidth="1"/>
    <col min="25" max="25" width="13.28515625" style="10" customWidth="1"/>
    <col min="26" max="26" width="14.140625" style="10" customWidth="1"/>
    <col min="27" max="28" width="13.42578125" style="10" customWidth="1"/>
    <col min="29" max="16384" width="11.42578125" style="10"/>
  </cols>
  <sheetData>
    <row r="1" spans="1:13" s="125" customFormat="1" ht="46.5" customHeight="1" thickBot="1" x14ac:dyDescent="0.35"/>
    <row r="2" spans="1:13" ht="17.25" thickTop="1" x14ac:dyDescent="0.3"/>
    <row r="3" spans="1:13" ht="50.25" thickBot="1" x14ac:dyDescent="0.85">
      <c r="B3" s="276" t="s">
        <v>56</v>
      </c>
      <c r="C3" s="276"/>
      <c r="D3" s="276"/>
      <c r="E3" s="276"/>
      <c r="F3" s="276"/>
      <c r="G3" s="276"/>
      <c r="H3" s="276"/>
      <c r="I3" s="276"/>
      <c r="J3" s="276"/>
      <c r="K3" s="276"/>
      <c r="L3" s="276"/>
      <c r="M3" s="276"/>
    </row>
    <row r="4" spans="1:13" ht="15" customHeight="1" thickTop="1" x14ac:dyDescent="0.3">
      <c r="A4" s="139"/>
      <c r="B4" s="139"/>
      <c r="C4" s="139"/>
      <c r="D4" s="139"/>
      <c r="E4" s="139"/>
      <c r="F4" s="139"/>
      <c r="G4" s="139"/>
      <c r="H4" s="139"/>
      <c r="I4" s="139"/>
      <c r="J4" s="139"/>
      <c r="K4" s="139"/>
      <c r="L4" s="139"/>
      <c r="M4" s="139"/>
    </row>
    <row r="5" spans="1:13" ht="31.5" thickBot="1" x14ac:dyDescent="0.35">
      <c r="A5" s="139"/>
      <c r="B5" s="280" t="s">
        <v>42</v>
      </c>
      <c r="C5" s="280"/>
      <c r="D5" s="139"/>
      <c r="E5" s="140"/>
      <c r="F5" s="140"/>
      <c r="G5" s="140"/>
      <c r="H5" s="140"/>
      <c r="I5" s="140"/>
      <c r="J5" s="140"/>
      <c r="K5" s="140"/>
      <c r="L5" s="140"/>
      <c r="M5" s="140"/>
    </row>
    <row r="6" spans="1:13" ht="25.5" thickTop="1" thickBot="1" x14ac:dyDescent="0.35">
      <c r="A6" s="140"/>
      <c r="B6" s="148" t="s">
        <v>0</v>
      </c>
      <c r="C6" s="150">
        <f>Datos!I8</f>
        <v>100000</v>
      </c>
      <c r="D6" s="140"/>
      <c r="E6" s="140"/>
      <c r="F6" s="140"/>
      <c r="G6" s="140"/>
      <c r="H6" s="140"/>
      <c r="I6" s="140"/>
      <c r="J6" s="140"/>
      <c r="K6" s="140"/>
      <c r="L6" s="140"/>
      <c r="M6" s="140"/>
    </row>
    <row r="7" spans="1:13" ht="25.5" thickTop="1" thickBot="1" x14ac:dyDescent="0.35">
      <c r="A7" s="140"/>
      <c r="B7" s="148" t="s">
        <v>50</v>
      </c>
      <c r="C7" s="151">
        <f>Datos!I5</f>
        <v>500000</v>
      </c>
      <c r="D7" s="140"/>
      <c r="E7" s="140"/>
      <c r="F7" s="140"/>
      <c r="G7" s="140"/>
      <c r="H7" s="140"/>
      <c r="I7" s="140"/>
      <c r="J7" s="140"/>
      <c r="K7" s="140"/>
      <c r="L7" s="140"/>
      <c r="M7" s="140"/>
    </row>
    <row r="8" spans="1:13" ht="25.5" thickTop="1" thickBot="1" x14ac:dyDescent="0.35">
      <c r="A8" s="140"/>
      <c r="B8" s="148" t="s">
        <v>57</v>
      </c>
      <c r="C8" s="151">
        <f>Datos!I7</f>
        <v>1000000</v>
      </c>
      <c r="D8" s="140"/>
      <c r="E8" s="140"/>
      <c r="F8" s="140"/>
      <c r="G8" s="140"/>
      <c r="H8" s="140"/>
      <c r="I8" s="140"/>
      <c r="J8" s="140"/>
      <c r="K8" s="140"/>
      <c r="L8" s="140"/>
      <c r="M8" s="140"/>
    </row>
    <row r="9" spans="1:13" ht="25.5" thickTop="1" thickBot="1" x14ac:dyDescent="0.35">
      <c r="A9" s="140"/>
      <c r="B9" s="148" t="s">
        <v>58</v>
      </c>
      <c r="C9" s="152">
        <f>Datos!I10</f>
        <v>200000</v>
      </c>
      <c r="D9" s="140"/>
      <c r="E9" s="140"/>
      <c r="F9" s="140"/>
      <c r="G9" s="140"/>
      <c r="H9" s="140"/>
      <c r="I9" s="140"/>
      <c r="J9" s="140"/>
      <c r="K9" s="140"/>
      <c r="L9" s="140"/>
      <c r="M9" s="140"/>
    </row>
    <row r="10" spans="1:13" ht="21" thickTop="1" thickBot="1" x14ac:dyDescent="0.35">
      <c r="A10" s="140"/>
      <c r="B10" s="149"/>
      <c r="C10" s="153"/>
      <c r="D10" s="140"/>
      <c r="E10" s="140"/>
      <c r="F10" s="140"/>
      <c r="G10" s="140"/>
      <c r="H10" s="140"/>
      <c r="I10" s="140"/>
      <c r="J10" s="140"/>
      <c r="K10" s="140"/>
      <c r="L10" s="140"/>
      <c r="M10" s="140"/>
    </row>
    <row r="11" spans="1:13" ht="25.5" thickTop="1" thickBot="1" x14ac:dyDescent="0.35">
      <c r="A11" s="140"/>
      <c r="B11" s="148" t="s">
        <v>52</v>
      </c>
      <c r="C11" s="154">
        <f>C6+C7+C8+C9</f>
        <v>1800000</v>
      </c>
      <c r="D11" s="140"/>
      <c r="E11" s="140"/>
      <c r="F11" s="140"/>
      <c r="G11" s="140"/>
      <c r="H11" s="140"/>
      <c r="I11" s="140"/>
      <c r="J11" s="140"/>
      <c r="K11" s="140"/>
      <c r="L11" s="140"/>
      <c r="M11" s="140"/>
    </row>
    <row r="12" spans="1:13" ht="24.75" thickTop="1" x14ac:dyDescent="0.3">
      <c r="A12" s="140"/>
      <c r="B12" s="141"/>
      <c r="C12" s="142"/>
      <c r="D12" s="140"/>
      <c r="E12" s="140"/>
      <c r="F12" s="140"/>
      <c r="G12" s="140"/>
      <c r="H12" s="140"/>
      <c r="I12" s="140"/>
      <c r="J12" s="140"/>
      <c r="K12" s="140"/>
      <c r="L12" s="140"/>
      <c r="M12" s="140"/>
    </row>
    <row r="13" spans="1:13" ht="24" x14ac:dyDescent="0.3">
      <c r="A13" s="140"/>
      <c r="B13" s="141"/>
      <c r="C13" s="142"/>
      <c r="D13" s="140"/>
      <c r="E13" s="140"/>
      <c r="F13" s="140"/>
      <c r="G13" s="140"/>
      <c r="H13" s="140"/>
      <c r="I13" s="140"/>
      <c r="J13" s="140"/>
      <c r="K13" s="140"/>
      <c r="L13" s="140"/>
      <c r="M13" s="140"/>
    </row>
    <row r="14" spans="1:13" ht="24" x14ac:dyDescent="0.3">
      <c r="A14" s="140"/>
      <c r="B14" s="141"/>
      <c r="C14" s="142"/>
      <c r="D14" s="140"/>
      <c r="E14" s="140"/>
      <c r="F14" s="140"/>
      <c r="G14" s="140"/>
      <c r="H14" s="140"/>
      <c r="I14" s="140"/>
      <c r="J14" s="140"/>
      <c r="K14" s="140"/>
      <c r="L14" s="140"/>
      <c r="M14" s="140"/>
    </row>
    <row r="15" spans="1:13" ht="24" x14ac:dyDescent="0.3">
      <c r="A15" s="140"/>
      <c r="B15" s="141"/>
      <c r="C15" s="142"/>
      <c r="D15" s="140"/>
      <c r="E15" s="140"/>
      <c r="F15" s="140"/>
      <c r="G15" s="140"/>
      <c r="H15" s="140"/>
      <c r="I15" s="140"/>
      <c r="J15" s="140"/>
      <c r="K15" s="140"/>
      <c r="L15" s="140"/>
      <c r="M15" s="140"/>
    </row>
    <row r="16" spans="1:13" ht="19.5" x14ac:dyDescent="0.3">
      <c r="A16" s="140"/>
      <c r="B16" s="140"/>
      <c r="C16" s="140"/>
      <c r="D16" s="140"/>
      <c r="E16" s="140"/>
      <c r="F16" s="140"/>
      <c r="G16" s="140"/>
      <c r="H16" s="140"/>
      <c r="I16" s="140"/>
      <c r="J16" s="140"/>
      <c r="K16" s="140"/>
      <c r="L16" s="140"/>
      <c r="M16" s="140"/>
    </row>
    <row r="17" spans="1:13" ht="50.25" thickBot="1" x14ac:dyDescent="0.85">
      <c r="A17" s="140"/>
      <c r="B17" s="276" t="s">
        <v>43</v>
      </c>
      <c r="C17" s="276"/>
      <c r="D17" s="276"/>
      <c r="E17" s="276"/>
      <c r="F17" s="276"/>
      <c r="G17" s="276"/>
      <c r="H17" s="276"/>
      <c r="I17" s="276"/>
      <c r="J17" s="276"/>
      <c r="K17" s="276"/>
      <c r="L17" s="276"/>
      <c r="M17" s="140"/>
    </row>
    <row r="18" spans="1:13" ht="21" customHeight="1" thickTop="1" thickBot="1" x14ac:dyDescent="0.35">
      <c r="A18" s="140"/>
      <c r="B18" s="143"/>
      <c r="C18" s="143"/>
      <c r="D18" s="143"/>
      <c r="E18" s="143"/>
      <c r="F18" s="143"/>
      <c r="G18" s="143"/>
      <c r="H18" s="143"/>
      <c r="I18" s="143"/>
      <c r="J18" s="143"/>
      <c r="K18" s="143"/>
      <c r="L18" s="143"/>
      <c r="M18" s="140"/>
    </row>
    <row r="19" spans="1:13" ht="25.5" thickTop="1" thickBot="1" x14ac:dyDescent="0.35">
      <c r="A19" s="140"/>
      <c r="B19" s="282"/>
      <c r="C19" s="277" t="s">
        <v>8</v>
      </c>
      <c r="D19" s="278"/>
      <c r="E19" s="278"/>
      <c r="F19" s="278"/>
      <c r="G19" s="278"/>
      <c r="H19" s="278"/>
      <c r="I19" s="278"/>
      <c r="J19" s="278"/>
      <c r="K19" s="278"/>
      <c r="L19" s="279"/>
      <c r="M19" s="139"/>
    </row>
    <row r="20" spans="1:13" ht="25.5" thickTop="1" thickBot="1" x14ac:dyDescent="0.35">
      <c r="A20" s="140"/>
      <c r="B20" s="282"/>
      <c r="C20" s="167">
        <v>1</v>
      </c>
      <c r="D20" s="168">
        <v>2</v>
      </c>
      <c r="E20" s="168">
        <v>3</v>
      </c>
      <c r="F20" s="168">
        <v>4</v>
      </c>
      <c r="G20" s="168">
        <v>5</v>
      </c>
      <c r="H20" s="168">
        <v>6</v>
      </c>
      <c r="I20" s="168">
        <v>7</v>
      </c>
      <c r="J20" s="168">
        <v>8</v>
      </c>
      <c r="K20" s="168">
        <v>9</v>
      </c>
      <c r="L20" s="169">
        <v>10</v>
      </c>
      <c r="M20" s="140"/>
    </row>
    <row r="21" spans="1:13" ht="25.5" thickTop="1" thickBot="1" x14ac:dyDescent="0.35">
      <c r="A21" s="140"/>
      <c r="B21" s="148" t="s">
        <v>59</v>
      </c>
      <c r="C21" s="155">
        <f>'Estado de Resultados'!D9</f>
        <v>16000000</v>
      </c>
      <c r="D21" s="156">
        <f>'Estado de Resultados'!E9</f>
        <v>17640000</v>
      </c>
      <c r="E21" s="156">
        <f>'Estado de Resultados'!F9</f>
        <v>19448100</v>
      </c>
      <c r="F21" s="156">
        <f>'Estado de Resultados'!G9</f>
        <v>21441530.25</v>
      </c>
      <c r="G21" s="156">
        <f>'Estado de Resultados'!H9</f>
        <v>23639287.100625001</v>
      </c>
      <c r="H21" s="156">
        <f>'Estado de Resultados'!I9</f>
        <v>26062314.02843906</v>
      </c>
      <c r="I21" s="156">
        <f>'Estado de Resultados'!J9</f>
        <v>28733701.216354061</v>
      </c>
      <c r="J21" s="156">
        <f>'Estado de Resultados'!K9</f>
        <v>31678905.591030348</v>
      </c>
      <c r="K21" s="156">
        <f>'Estado de Resultados'!L9</f>
        <v>34925993.414110959</v>
      </c>
      <c r="L21" s="157">
        <f>'Estado de Resultados'!M9</f>
        <v>38505907.739057332</v>
      </c>
      <c r="M21" s="140"/>
    </row>
    <row r="22" spans="1:13" ht="20.25" thickTop="1" x14ac:dyDescent="0.3">
      <c r="A22" s="140"/>
      <c r="B22" s="140"/>
      <c r="C22" s="140"/>
      <c r="D22" s="140"/>
      <c r="E22" s="140"/>
      <c r="F22" s="140"/>
      <c r="G22" s="140"/>
      <c r="H22" s="140"/>
      <c r="I22" s="140"/>
      <c r="J22" s="140"/>
      <c r="K22" s="140"/>
      <c r="L22" s="140"/>
      <c r="M22" s="140"/>
    </row>
    <row r="23" spans="1:13" ht="19.5" x14ac:dyDescent="0.3">
      <c r="A23" s="140"/>
      <c r="B23" s="140"/>
      <c r="C23" s="140"/>
      <c r="D23" s="140"/>
      <c r="E23" s="140"/>
      <c r="F23" s="140"/>
      <c r="G23" s="140"/>
      <c r="H23" s="140"/>
      <c r="I23" s="140"/>
      <c r="J23" s="140"/>
      <c r="K23" s="140"/>
      <c r="L23" s="140"/>
      <c r="M23" s="140"/>
    </row>
    <row r="24" spans="1:13" ht="19.5" x14ac:dyDescent="0.3">
      <c r="A24" s="140"/>
      <c r="B24" s="140"/>
      <c r="C24" s="140"/>
      <c r="D24" s="140"/>
      <c r="E24" s="140"/>
      <c r="F24" s="140"/>
      <c r="G24" s="140"/>
      <c r="H24" s="140"/>
      <c r="I24" s="140"/>
      <c r="J24" s="140"/>
      <c r="K24" s="140"/>
      <c r="L24" s="140"/>
      <c r="M24" s="140"/>
    </row>
    <row r="25" spans="1:13" ht="19.5" x14ac:dyDescent="0.3">
      <c r="A25" s="140"/>
      <c r="B25" s="140"/>
      <c r="C25" s="140"/>
      <c r="D25" s="140"/>
      <c r="E25" s="140"/>
      <c r="F25" s="140"/>
      <c r="G25" s="140"/>
      <c r="H25" s="140"/>
      <c r="I25" s="140"/>
      <c r="J25" s="140"/>
      <c r="K25" s="140"/>
      <c r="L25" s="140"/>
      <c r="M25" s="140"/>
    </row>
    <row r="26" spans="1:13" ht="19.5" x14ac:dyDescent="0.3">
      <c r="A26" s="140"/>
      <c r="B26" s="140"/>
      <c r="C26" s="140"/>
      <c r="D26" s="140"/>
      <c r="E26" s="140"/>
      <c r="F26" s="140"/>
      <c r="G26" s="140"/>
      <c r="H26" s="140"/>
      <c r="I26" s="140"/>
      <c r="J26" s="140"/>
      <c r="K26" s="140"/>
      <c r="L26" s="140"/>
      <c r="M26" s="140"/>
    </row>
    <row r="27" spans="1:13" ht="19.5" x14ac:dyDescent="0.3">
      <c r="A27" s="140"/>
      <c r="B27" s="140"/>
      <c r="C27" s="140"/>
      <c r="D27" s="140"/>
      <c r="E27" s="140"/>
      <c r="F27" s="140"/>
      <c r="G27" s="140"/>
      <c r="H27" s="140"/>
      <c r="I27" s="140"/>
      <c r="J27" s="140"/>
      <c r="K27" s="140"/>
      <c r="L27" s="140"/>
      <c r="M27" s="140"/>
    </row>
    <row r="28" spans="1:13" ht="50.25" thickBot="1" x14ac:dyDescent="0.85">
      <c r="A28" s="140"/>
      <c r="B28" s="276" t="s">
        <v>44</v>
      </c>
      <c r="C28" s="276"/>
      <c r="D28" s="276"/>
      <c r="E28" s="276"/>
      <c r="F28" s="276"/>
      <c r="G28" s="276"/>
      <c r="H28" s="276"/>
      <c r="I28" s="276"/>
      <c r="J28" s="276"/>
      <c r="K28" s="276"/>
      <c r="L28" s="276"/>
      <c r="M28" s="140"/>
    </row>
    <row r="29" spans="1:13" ht="21.75" customHeight="1" thickTop="1" thickBot="1" x14ac:dyDescent="0.35">
      <c r="A29" s="140"/>
      <c r="B29" s="143"/>
      <c r="C29" s="143"/>
      <c r="D29" s="143"/>
      <c r="E29" s="143"/>
      <c r="F29" s="143"/>
      <c r="G29" s="143"/>
      <c r="H29" s="143"/>
      <c r="I29" s="143"/>
      <c r="J29" s="143"/>
      <c r="K29" s="143"/>
      <c r="L29" s="143"/>
      <c r="M29" s="140"/>
    </row>
    <row r="30" spans="1:13" ht="25.5" thickTop="1" thickBot="1" x14ac:dyDescent="0.35">
      <c r="A30" s="140"/>
      <c r="B30" s="273"/>
      <c r="C30" s="277" t="s">
        <v>8</v>
      </c>
      <c r="D30" s="278"/>
      <c r="E30" s="278"/>
      <c r="F30" s="278"/>
      <c r="G30" s="278"/>
      <c r="H30" s="278"/>
      <c r="I30" s="278"/>
      <c r="J30" s="278"/>
      <c r="K30" s="278"/>
      <c r="L30" s="279"/>
      <c r="M30" s="140"/>
    </row>
    <row r="31" spans="1:13" ht="25.5" thickTop="1" thickBot="1" x14ac:dyDescent="0.35">
      <c r="A31" s="140"/>
      <c r="B31" s="274"/>
      <c r="C31" s="167">
        <v>1</v>
      </c>
      <c r="D31" s="168">
        <v>2</v>
      </c>
      <c r="E31" s="168">
        <v>3</v>
      </c>
      <c r="F31" s="168">
        <v>4</v>
      </c>
      <c r="G31" s="168">
        <v>5</v>
      </c>
      <c r="H31" s="168">
        <v>6</v>
      </c>
      <c r="I31" s="168">
        <v>7</v>
      </c>
      <c r="J31" s="168">
        <v>8</v>
      </c>
      <c r="K31" s="168">
        <v>9</v>
      </c>
      <c r="L31" s="169">
        <v>10</v>
      </c>
      <c r="M31" s="140"/>
    </row>
    <row r="32" spans="1:13" ht="25.5" thickTop="1" thickBot="1" x14ac:dyDescent="0.35">
      <c r="A32" s="140"/>
      <c r="B32" s="148" t="s">
        <v>3</v>
      </c>
      <c r="C32" s="158">
        <f>'Estado de Resultados'!D10</f>
        <v>2206896.5517241377</v>
      </c>
      <c r="D32" s="158">
        <f>'Estado de Resultados'!E10</f>
        <v>2433103.4482758604</v>
      </c>
      <c r="E32" s="158">
        <f>'Estado de Resultados'!F10</f>
        <v>2682496.5517241359</v>
      </c>
      <c r="F32" s="158">
        <f>'Estado de Resultados'!G10</f>
        <v>2957452.4482758604</v>
      </c>
      <c r="G32" s="158">
        <f>'Estado de Resultados'!H10</f>
        <v>3260591.3242241368</v>
      </c>
      <c r="H32" s="158">
        <f>'Estado de Resultados'!I10</f>
        <v>3594801.9349571094</v>
      </c>
      <c r="I32" s="158">
        <f>'Estado de Resultados'!J10</f>
        <v>3963269.1332902126</v>
      </c>
      <c r="J32" s="158">
        <f>'Estado de Resultados'!K10</f>
        <v>4369504.2194524594</v>
      </c>
      <c r="K32" s="158">
        <f>'Estado de Resultados'!L10</f>
        <v>4817378.401946336</v>
      </c>
      <c r="L32" s="159">
        <f>'Estado de Resultados'!M10</f>
        <v>5311159.688145835</v>
      </c>
      <c r="M32" s="140"/>
    </row>
    <row r="33" spans="1:13" ht="25.5" thickTop="1" thickBot="1" x14ac:dyDescent="0.35">
      <c r="A33" s="140"/>
      <c r="B33" s="148" t="s">
        <v>20</v>
      </c>
      <c r="C33" s="158">
        <f>'Estado de Resultados'!D12</f>
        <v>6150000</v>
      </c>
      <c r="D33" s="158">
        <f>'Estado de Resultados'!E12</f>
        <v>6966000</v>
      </c>
      <c r="E33" s="158">
        <f>'Estado de Resultados'!F12</f>
        <v>7890696</v>
      </c>
      <c r="F33" s="158">
        <f>'Estado de Resultados'!G12</f>
        <v>8938601.4240000006</v>
      </c>
      <c r="G33" s="158">
        <f>'Estado de Resultados'!H12</f>
        <v>10126170.347616002</v>
      </c>
      <c r="H33" s="158">
        <f>'Estado de Resultados'!I12</f>
        <v>11472057.213620543</v>
      </c>
      <c r="I33" s="158">
        <f>'Estado de Resultados'!J12</f>
        <v>12997411.322823616</v>
      </c>
      <c r="J33" s="158">
        <f>'Estado de Resultados'!K12</f>
        <v>14726210.758066135</v>
      </c>
      <c r="K33" s="158">
        <f>'Estado de Resultados'!L12</f>
        <v>16685641.023069885</v>
      </c>
      <c r="L33" s="159">
        <f>'Estado de Resultados'!M12</f>
        <v>18906524.385457963</v>
      </c>
      <c r="M33" s="140"/>
    </row>
    <row r="34" spans="1:13" ht="25.5" thickTop="1" thickBot="1" x14ac:dyDescent="0.35">
      <c r="A34" s="140"/>
      <c r="B34" s="148" t="s">
        <v>21</v>
      </c>
      <c r="C34" s="158">
        <f>'Estado de Resultados'!D14</f>
        <v>0</v>
      </c>
      <c r="D34" s="158">
        <f>'Estado de Resultados'!E14</f>
        <v>0</v>
      </c>
      <c r="E34" s="158">
        <f>'Estado de Resultados'!F14</f>
        <v>0</v>
      </c>
      <c r="F34" s="158">
        <f>'Estado de Resultados'!G14</f>
        <v>0</v>
      </c>
      <c r="G34" s="158">
        <f>'Estado de Resultados'!H14</f>
        <v>0</v>
      </c>
      <c r="H34" s="158">
        <f>'Estado de Resultados'!I14</f>
        <v>210252.49999999942</v>
      </c>
      <c r="I34" s="158">
        <f>'Estado de Resultados'!J14</f>
        <v>720765.12499999953</v>
      </c>
      <c r="J34" s="158">
        <f>'Estado de Resultados'!K14</f>
        <v>1256803.3812499999</v>
      </c>
      <c r="K34" s="158">
        <f>'Estado de Resultados'!L14</f>
        <v>1819643.5503125002</v>
      </c>
      <c r="L34" s="159">
        <f>'Estado de Resultados'!M14</f>
        <v>2410625.727828125</v>
      </c>
      <c r="M34" s="140"/>
    </row>
    <row r="35" spans="1:13" ht="25.5" thickTop="1" thickBot="1" x14ac:dyDescent="0.35">
      <c r="A35" s="140"/>
      <c r="B35" s="148" t="s">
        <v>9</v>
      </c>
      <c r="C35" s="158">
        <f>'Estado de Resultados'!D16</f>
        <v>2000000</v>
      </c>
      <c r="D35" s="158">
        <f>'Estado de Resultados'!E16</f>
        <v>2100000</v>
      </c>
      <c r="E35" s="158">
        <f>'Estado de Resultados'!F16</f>
        <v>2205000</v>
      </c>
      <c r="F35" s="158">
        <f>'Estado de Resultados'!G16</f>
        <v>2315250</v>
      </c>
      <c r="G35" s="158">
        <f>'Estado de Resultados'!H16</f>
        <v>2431012.5</v>
      </c>
      <c r="H35" s="158">
        <f>'Estado de Resultados'!I16</f>
        <v>2552563.125</v>
      </c>
      <c r="I35" s="158">
        <f>'Estado de Resultados'!J16</f>
        <v>2680191.28125</v>
      </c>
      <c r="J35" s="158">
        <f>'Estado de Resultados'!K16</f>
        <v>2814200.8453124999</v>
      </c>
      <c r="K35" s="158">
        <f>'Estado de Resultados'!L16</f>
        <v>2954910.8875781251</v>
      </c>
      <c r="L35" s="159">
        <f>'Estado de Resultados'!M16</f>
        <v>3102656.4319570316</v>
      </c>
      <c r="M35" s="140"/>
    </row>
    <row r="36" spans="1:13" ht="25.5" thickTop="1" thickBot="1" x14ac:dyDescent="0.35">
      <c r="A36" s="140"/>
      <c r="B36" s="148" t="s">
        <v>19</v>
      </c>
      <c r="C36" s="158">
        <f>'Estado de Resultados'!D17</f>
        <v>4000000</v>
      </c>
      <c r="D36" s="158">
        <f>'Estado de Resultados'!E17</f>
        <v>4200000</v>
      </c>
      <c r="E36" s="158">
        <f>'Estado de Resultados'!F17</f>
        <v>4410000</v>
      </c>
      <c r="F36" s="158">
        <f>'Estado de Resultados'!G17</f>
        <v>4630500</v>
      </c>
      <c r="G36" s="158">
        <f>'Estado de Resultados'!H17</f>
        <v>4862025</v>
      </c>
      <c r="H36" s="158">
        <f>'Estado de Resultados'!I17</f>
        <v>5105126.25</v>
      </c>
      <c r="I36" s="158">
        <f>'Estado de Resultados'!J17</f>
        <v>5360382.5625</v>
      </c>
      <c r="J36" s="158">
        <f>'Estado de Resultados'!K17</f>
        <v>5628401.6906249998</v>
      </c>
      <c r="K36" s="158">
        <f>'Estado de Resultados'!L17</f>
        <v>5909821.7751562502</v>
      </c>
      <c r="L36" s="159">
        <f>'Estado de Resultados'!M17</f>
        <v>6205312.8639140632</v>
      </c>
      <c r="M36" s="140"/>
    </row>
    <row r="37" spans="1:13" ht="25.5" thickTop="1" thickBot="1" x14ac:dyDescent="0.35">
      <c r="A37" s="140"/>
      <c r="B37" s="148" t="s">
        <v>6</v>
      </c>
      <c r="C37" s="158">
        <f>'Estado de Resultados'!D19</f>
        <v>0</v>
      </c>
      <c r="D37" s="158">
        <f>'Estado de Resultados'!E19</f>
        <v>0</v>
      </c>
      <c r="E37" s="158">
        <f>'Estado de Resultados'!F19</f>
        <v>0</v>
      </c>
      <c r="F37" s="158">
        <f>'Estado de Resultados'!G19</f>
        <v>0</v>
      </c>
      <c r="G37" s="158">
        <f>'Estado de Resultados'!H19</f>
        <v>0</v>
      </c>
      <c r="H37" s="158">
        <f>'Estado de Resultados'!I19</f>
        <v>0</v>
      </c>
      <c r="I37" s="158">
        <f>'Estado de Resultados'!J19</f>
        <v>0</v>
      </c>
      <c r="J37" s="158">
        <f>'Estado de Resultados'!K19</f>
        <v>0</v>
      </c>
      <c r="K37" s="158">
        <f>'Estado de Resultados'!L19</f>
        <v>0</v>
      </c>
      <c r="L37" s="159">
        <f>'Estado de Resultados'!M19</f>
        <v>0</v>
      </c>
      <c r="M37" s="140"/>
    </row>
    <row r="38" spans="1:13" ht="25.5" thickTop="1" thickBot="1" x14ac:dyDescent="0.35">
      <c r="A38" s="140"/>
      <c r="B38" s="148" t="s">
        <v>16</v>
      </c>
      <c r="C38" s="158">
        <f>'Estado de Resultados'!D21</f>
        <v>506252.87356321834</v>
      </c>
      <c r="D38" s="158">
        <f>'Estado de Resultados'!E21</f>
        <v>610480.45977011533</v>
      </c>
      <c r="E38" s="158">
        <f>'Estado de Resultados'!F21</f>
        <v>722134.27356321923</v>
      </c>
      <c r="F38" s="158">
        <f>'Estado de Resultados'!G21</f>
        <v>841070.89887011552</v>
      </c>
      <c r="G38" s="158">
        <f>'Estado de Resultados'!H21</f>
        <v>966987.44174136862</v>
      </c>
      <c r="H38" s="158">
        <f>'Estado de Resultados'!I21</f>
        <v>1025796.2183681593</v>
      </c>
      <c r="I38" s="158">
        <f>'Estado de Resultados'!J21</f>
        <v>985255.29368824826</v>
      </c>
      <c r="J38" s="158">
        <f>'Estado de Resultados'!K21</f>
        <v>940491.3103801558</v>
      </c>
      <c r="K38" s="158">
        <f>'Estado de Resultados'!L21</f>
        <v>889675.88828341896</v>
      </c>
      <c r="L38" s="159">
        <f>'Estado de Resultados'!M21</f>
        <v>830536.69128067687</v>
      </c>
      <c r="M38" s="140"/>
    </row>
    <row r="39" spans="1:13" ht="27" customHeight="1" thickTop="1" thickBot="1" x14ac:dyDescent="0.35">
      <c r="A39" s="140"/>
      <c r="B39" s="148" t="s">
        <v>22</v>
      </c>
      <c r="C39" s="160" t="s">
        <v>46</v>
      </c>
      <c r="D39" s="160" t="s">
        <v>46</v>
      </c>
      <c r="E39" s="160" t="s">
        <v>46</v>
      </c>
      <c r="F39" s="160" t="s">
        <v>46</v>
      </c>
      <c r="G39" s="160" t="s">
        <v>46</v>
      </c>
      <c r="H39" s="161">
        <v>900000</v>
      </c>
      <c r="I39" s="160" t="s">
        <v>46</v>
      </c>
      <c r="J39" s="160" t="s">
        <v>46</v>
      </c>
      <c r="K39" s="160" t="s">
        <v>46</v>
      </c>
      <c r="L39" s="162" t="s">
        <v>46</v>
      </c>
      <c r="M39" s="140"/>
    </row>
    <row r="40" spans="1:13" ht="21" thickTop="1" thickBot="1" x14ac:dyDescent="0.35">
      <c r="A40" s="140"/>
      <c r="B40" s="170"/>
      <c r="C40" s="140"/>
      <c r="D40" s="140"/>
      <c r="E40" s="140"/>
      <c r="F40" s="140"/>
      <c r="G40" s="140"/>
      <c r="H40" s="140"/>
      <c r="I40" s="140"/>
      <c r="J40" s="140"/>
      <c r="K40" s="140"/>
      <c r="L40" s="140"/>
      <c r="M40" s="140"/>
    </row>
    <row r="41" spans="1:13" ht="25.5" thickTop="1" thickBot="1" x14ac:dyDescent="0.35">
      <c r="A41" s="140"/>
      <c r="B41" s="148" t="s">
        <v>47</v>
      </c>
      <c r="C41" s="163">
        <f>SUM(C32:C38)</f>
        <v>14863149.425287357</v>
      </c>
      <c r="D41" s="163">
        <f t="shared" ref="D41:L41" si="0">SUM(D32:D38)</f>
        <v>16309583.908045975</v>
      </c>
      <c r="E41" s="163">
        <f t="shared" si="0"/>
        <v>17910326.825287357</v>
      </c>
      <c r="F41" s="163">
        <f t="shared" si="0"/>
        <v>19682874.771145973</v>
      </c>
      <c r="G41" s="163">
        <f t="shared" si="0"/>
        <v>21646786.613581508</v>
      </c>
      <c r="H41" s="163">
        <f>SUM(H32:H39)</f>
        <v>24860597.241945811</v>
      </c>
      <c r="I41" s="163">
        <f t="shared" si="0"/>
        <v>26707274.718552079</v>
      </c>
      <c r="J41" s="163">
        <f t="shared" si="0"/>
        <v>29735612.205086254</v>
      </c>
      <c r="K41" s="163">
        <f t="shared" si="0"/>
        <v>33077071.526346516</v>
      </c>
      <c r="L41" s="164">
        <f t="shared" si="0"/>
        <v>36766815.788583696</v>
      </c>
      <c r="M41" s="140"/>
    </row>
    <row r="42" spans="1:13" ht="20.25" thickTop="1" x14ac:dyDescent="0.3">
      <c r="A42" s="140"/>
      <c r="B42" s="140"/>
      <c r="C42" s="140"/>
      <c r="D42" s="140"/>
      <c r="E42" s="140"/>
      <c r="F42" s="140"/>
      <c r="G42" s="140"/>
      <c r="H42" s="140"/>
      <c r="I42" s="140"/>
      <c r="J42" s="140"/>
      <c r="K42" s="140"/>
      <c r="L42" s="140"/>
      <c r="M42" s="140"/>
    </row>
    <row r="43" spans="1:13" ht="19.5" x14ac:dyDescent="0.3">
      <c r="A43" s="140"/>
      <c r="B43" s="140"/>
      <c r="C43" s="140"/>
      <c r="D43" s="140"/>
      <c r="E43" s="140"/>
      <c r="F43" s="140"/>
      <c r="G43" s="140"/>
      <c r="H43" s="140"/>
      <c r="I43" s="140"/>
      <c r="J43" s="140"/>
      <c r="K43" s="140"/>
      <c r="L43" s="140"/>
      <c r="M43" s="140"/>
    </row>
    <row r="44" spans="1:13" ht="19.5" x14ac:dyDescent="0.3">
      <c r="A44" s="140"/>
      <c r="B44" s="140"/>
      <c r="C44" s="140"/>
      <c r="D44" s="140"/>
      <c r="E44" s="140"/>
      <c r="F44" s="140"/>
      <c r="G44" s="140"/>
      <c r="H44" s="140"/>
      <c r="I44" s="140"/>
      <c r="J44" s="140"/>
      <c r="K44" s="140"/>
      <c r="L44" s="140"/>
      <c r="M44" s="140"/>
    </row>
    <row r="45" spans="1:13" ht="19.5" x14ac:dyDescent="0.3">
      <c r="A45" s="140"/>
      <c r="B45" s="140"/>
      <c r="C45" s="140"/>
      <c r="D45" s="140"/>
      <c r="E45" s="140"/>
      <c r="F45" s="140"/>
      <c r="G45" s="140"/>
      <c r="H45" s="140"/>
      <c r="I45" s="140"/>
      <c r="J45" s="140"/>
      <c r="K45" s="140"/>
      <c r="L45" s="140"/>
      <c r="M45" s="140"/>
    </row>
    <row r="46" spans="1:13" ht="19.5" x14ac:dyDescent="0.3">
      <c r="A46" s="140"/>
      <c r="B46" s="140"/>
      <c r="C46" s="140"/>
      <c r="D46" s="140"/>
      <c r="E46" s="140"/>
      <c r="F46" s="140"/>
      <c r="G46" s="140"/>
      <c r="H46" s="140"/>
      <c r="I46" s="140"/>
      <c r="J46" s="140"/>
      <c r="K46" s="140"/>
      <c r="L46" s="140"/>
      <c r="M46" s="140"/>
    </row>
    <row r="47" spans="1:13" ht="50.25" thickBot="1" x14ac:dyDescent="0.85">
      <c r="A47" s="140"/>
      <c r="B47" s="276" t="s">
        <v>60</v>
      </c>
      <c r="C47" s="276"/>
      <c r="D47" s="276"/>
      <c r="E47" s="276"/>
      <c r="F47" s="276"/>
      <c r="G47" s="276"/>
      <c r="H47" s="276"/>
      <c r="I47" s="276"/>
      <c r="J47" s="276"/>
      <c r="K47" s="276"/>
      <c r="L47" s="276"/>
      <c r="M47" s="140"/>
    </row>
    <row r="48" spans="1:13" s="139" customFormat="1" ht="20.25" customHeight="1" thickTop="1" thickBot="1" x14ac:dyDescent="0.3"/>
    <row r="49" spans="1:28" s="139" customFormat="1" ht="20.25" customHeight="1" thickTop="1" thickBot="1" x14ac:dyDescent="0.3">
      <c r="B49" s="171"/>
      <c r="C49" s="277" t="s">
        <v>8</v>
      </c>
      <c r="D49" s="278"/>
      <c r="E49" s="278"/>
      <c r="F49" s="278"/>
      <c r="G49" s="278"/>
      <c r="H49" s="278"/>
      <c r="I49" s="278"/>
      <c r="J49" s="278"/>
      <c r="K49" s="278"/>
      <c r="L49" s="279"/>
      <c r="Q49" s="144"/>
      <c r="R49" s="144"/>
      <c r="S49" s="144"/>
      <c r="T49" s="144"/>
      <c r="U49" s="144"/>
      <c r="V49" s="144"/>
      <c r="W49" s="144"/>
      <c r="X49" s="144"/>
      <c r="Y49" s="144"/>
      <c r="Z49" s="144"/>
      <c r="AA49" s="144"/>
      <c r="AB49" s="144"/>
    </row>
    <row r="50" spans="1:28" ht="25.5" thickTop="1" thickBot="1" x14ac:dyDescent="0.35">
      <c r="A50" s="140"/>
      <c r="B50" s="170"/>
      <c r="C50" s="167">
        <v>1</v>
      </c>
      <c r="D50" s="168">
        <v>2</v>
      </c>
      <c r="E50" s="168">
        <v>3</v>
      </c>
      <c r="F50" s="168">
        <v>4</v>
      </c>
      <c r="G50" s="168">
        <v>5</v>
      </c>
      <c r="H50" s="168">
        <v>6</v>
      </c>
      <c r="I50" s="168">
        <v>7</v>
      </c>
      <c r="J50" s="168">
        <v>8</v>
      </c>
      <c r="K50" s="168">
        <v>9</v>
      </c>
      <c r="L50" s="169">
        <v>10</v>
      </c>
      <c r="M50" s="140"/>
      <c r="Q50" s="126"/>
      <c r="R50" s="126"/>
      <c r="S50" s="126"/>
      <c r="T50" s="126"/>
      <c r="U50" s="126"/>
      <c r="V50" s="126"/>
      <c r="W50" s="126"/>
      <c r="X50" s="126"/>
      <c r="Y50" s="126"/>
      <c r="Z50" s="126"/>
      <c r="AA50" s="126"/>
      <c r="AB50" s="126"/>
    </row>
    <row r="51" spans="1:28" ht="25.5" thickTop="1" thickBot="1" x14ac:dyDescent="0.35">
      <c r="A51" s="140"/>
      <c r="B51" s="148" t="s">
        <v>23</v>
      </c>
      <c r="C51" s="165">
        <f t="shared" ref="C51:L51" si="1">C21-C41</f>
        <v>1136850.5747126434</v>
      </c>
      <c r="D51" s="165">
        <f>D21-D41</f>
        <v>1330416.0919540245</v>
      </c>
      <c r="E51" s="165">
        <f t="shared" si="1"/>
        <v>1537773.174712643</v>
      </c>
      <c r="F51" s="165">
        <f>F21-F41</f>
        <v>1758655.4788540266</v>
      </c>
      <c r="G51" s="165">
        <f>G21-G41</f>
        <v>1992500.4870434925</v>
      </c>
      <c r="H51" s="165">
        <f t="shared" si="1"/>
        <v>1201716.7864932492</v>
      </c>
      <c r="I51" s="165">
        <f t="shared" si="1"/>
        <v>2026426.4978019819</v>
      </c>
      <c r="J51" s="165">
        <f t="shared" si="1"/>
        <v>1943293.3859440945</v>
      </c>
      <c r="K51" s="165">
        <f t="shared" si="1"/>
        <v>1848921.8877644427</v>
      </c>
      <c r="L51" s="165">
        <f t="shared" si="1"/>
        <v>1739091.9504736364</v>
      </c>
      <c r="M51" s="140"/>
      <c r="Q51" s="281"/>
      <c r="R51" s="281"/>
      <c r="S51" s="145"/>
      <c r="T51" s="145"/>
      <c r="U51" s="145"/>
      <c r="V51" s="145"/>
      <c r="W51" s="145"/>
      <c r="X51" s="145"/>
      <c r="Y51" s="145"/>
      <c r="Z51" s="145"/>
      <c r="AA51" s="145"/>
      <c r="AB51" s="145"/>
    </row>
    <row r="52" spans="1:28" ht="20.25" thickTop="1" x14ac:dyDescent="0.3">
      <c r="A52" s="140"/>
      <c r="B52" s="140"/>
      <c r="C52" s="140"/>
      <c r="D52" s="140"/>
      <c r="E52" s="140"/>
      <c r="F52" s="140"/>
      <c r="G52" s="140"/>
      <c r="H52" s="140"/>
      <c r="I52" s="140"/>
      <c r="J52" s="140"/>
      <c r="K52" s="140"/>
      <c r="L52" s="140"/>
      <c r="M52" s="140"/>
      <c r="Q52" s="281"/>
      <c r="R52" s="281"/>
      <c r="S52" s="145"/>
      <c r="T52" s="145"/>
      <c r="U52" s="145"/>
      <c r="V52" s="145"/>
      <c r="W52" s="145"/>
      <c r="X52" s="145"/>
      <c r="Y52" s="145"/>
      <c r="Z52" s="145"/>
      <c r="AA52" s="145"/>
      <c r="AB52" s="145"/>
    </row>
    <row r="53" spans="1:28" ht="19.5" x14ac:dyDescent="0.3">
      <c r="A53" s="140"/>
      <c r="B53" s="140"/>
      <c r="C53" s="146"/>
      <c r="D53" s="146"/>
      <c r="E53" s="146"/>
      <c r="F53" s="146"/>
      <c r="G53" s="146"/>
      <c r="H53" s="146"/>
      <c r="I53" s="146"/>
      <c r="J53" s="146"/>
      <c r="K53" s="146"/>
      <c r="L53" s="146"/>
      <c r="M53" s="140"/>
      <c r="Q53" s="281"/>
      <c r="R53" s="281"/>
      <c r="S53" s="145"/>
      <c r="T53" s="145"/>
      <c r="U53" s="145"/>
      <c r="V53" s="145"/>
      <c r="W53" s="145"/>
      <c r="X53" s="145"/>
      <c r="Y53" s="145"/>
      <c r="Z53" s="145"/>
      <c r="AA53" s="145"/>
      <c r="AB53" s="145"/>
    </row>
    <row r="54" spans="1:28" ht="14.25" customHeight="1" thickBot="1" x14ac:dyDescent="0.35">
      <c r="A54" s="140"/>
      <c r="B54" s="140"/>
      <c r="C54" s="140"/>
      <c r="D54" s="140"/>
      <c r="E54" s="140"/>
      <c r="F54" s="140"/>
      <c r="G54" s="140"/>
      <c r="H54" s="140"/>
      <c r="I54" s="140"/>
      <c r="J54" s="140"/>
      <c r="K54" s="140"/>
      <c r="L54" s="140"/>
      <c r="M54" s="140"/>
      <c r="Q54" s="281"/>
      <c r="R54" s="281"/>
      <c r="S54" s="145"/>
      <c r="T54" s="145"/>
      <c r="U54" s="145"/>
      <c r="V54" s="145"/>
      <c r="W54" s="145"/>
      <c r="X54" s="145"/>
      <c r="Y54" s="145"/>
      <c r="Z54" s="145"/>
      <c r="AA54" s="145"/>
      <c r="AB54" s="145"/>
    </row>
    <row r="55" spans="1:28" ht="25.5" thickTop="1" thickBot="1" x14ac:dyDescent="0.35">
      <c r="A55" s="140"/>
      <c r="B55" s="140"/>
      <c r="C55" s="140"/>
      <c r="D55" s="140"/>
      <c r="E55" s="140"/>
      <c r="F55" s="140"/>
      <c r="G55" s="140"/>
      <c r="H55" s="140"/>
      <c r="I55" s="140"/>
      <c r="J55" s="140"/>
      <c r="K55" s="128" t="s">
        <v>30</v>
      </c>
      <c r="L55" s="166">
        <f>SUM(C51:L51)</f>
        <v>16515646.315754235</v>
      </c>
      <c r="M55" s="140"/>
      <c r="Q55" s="281"/>
      <c r="R55" s="281"/>
      <c r="S55" s="145"/>
      <c r="T55" s="145"/>
      <c r="U55" s="145"/>
      <c r="V55" s="145"/>
      <c r="W55" s="145"/>
      <c r="X55" s="145"/>
      <c r="Y55" s="145"/>
      <c r="Z55" s="145"/>
      <c r="AA55" s="145"/>
      <c r="AB55" s="145"/>
    </row>
    <row r="56" spans="1:28" ht="20.25" thickTop="1" x14ac:dyDescent="0.3">
      <c r="A56" s="140"/>
      <c r="B56" s="140"/>
      <c r="C56" s="140"/>
      <c r="D56" s="140"/>
      <c r="E56" s="140"/>
      <c r="F56" s="140"/>
      <c r="G56" s="140"/>
      <c r="H56" s="140"/>
      <c r="I56" s="140"/>
      <c r="J56" s="140"/>
      <c r="K56" s="140"/>
      <c r="L56" s="140"/>
      <c r="M56" s="140"/>
      <c r="Q56" s="275"/>
      <c r="R56" s="275"/>
      <c r="S56" s="69"/>
      <c r="T56" s="69"/>
      <c r="U56" s="69"/>
      <c r="V56" s="69"/>
      <c r="W56" s="69"/>
      <c r="X56" s="69"/>
      <c r="Y56" s="69"/>
      <c r="Z56" s="69"/>
      <c r="AA56" s="69"/>
      <c r="AB56" s="69"/>
    </row>
    <row r="57" spans="1:28" ht="19.5" x14ac:dyDescent="0.3">
      <c r="A57" s="140"/>
      <c r="B57" s="140"/>
      <c r="C57" s="140"/>
      <c r="D57" s="140"/>
      <c r="E57" s="140"/>
      <c r="F57" s="140"/>
      <c r="G57" s="140"/>
      <c r="H57" s="140"/>
      <c r="I57" s="140"/>
      <c r="J57" s="140"/>
      <c r="K57" s="140"/>
      <c r="L57" s="140"/>
      <c r="M57" s="140"/>
      <c r="Q57" s="275"/>
      <c r="R57" s="275"/>
      <c r="S57" s="69"/>
      <c r="T57" s="69"/>
      <c r="U57" s="69"/>
      <c r="V57" s="69"/>
      <c r="W57" s="69"/>
      <c r="X57" s="69"/>
      <c r="Y57" s="69"/>
      <c r="Z57" s="69"/>
      <c r="AA57" s="69"/>
      <c r="AB57" s="69"/>
    </row>
    <row r="58" spans="1:28" ht="19.5" x14ac:dyDescent="0.3">
      <c r="A58" s="140"/>
      <c r="B58" s="140"/>
      <c r="C58" s="140"/>
      <c r="D58" s="140"/>
      <c r="E58" s="140"/>
      <c r="F58" s="140"/>
      <c r="G58" s="140"/>
      <c r="H58" s="140"/>
      <c r="I58" s="140"/>
      <c r="J58" s="140"/>
      <c r="K58" s="140"/>
      <c r="L58" s="140"/>
      <c r="M58" s="140"/>
      <c r="Q58" s="275"/>
      <c r="R58" s="275"/>
      <c r="S58" s="69"/>
      <c r="T58" s="69"/>
      <c r="U58" s="69"/>
      <c r="V58" s="69"/>
      <c r="W58" s="69"/>
      <c r="X58" s="69"/>
      <c r="Y58" s="69"/>
      <c r="Z58" s="69"/>
      <c r="AA58" s="69"/>
      <c r="AB58" s="69"/>
    </row>
    <row r="59" spans="1:28" ht="19.5" x14ac:dyDescent="0.3">
      <c r="A59" s="140"/>
      <c r="B59" s="140"/>
      <c r="C59" s="140"/>
      <c r="D59" s="140"/>
      <c r="E59" s="140"/>
      <c r="F59" s="140"/>
      <c r="G59" s="140"/>
      <c r="H59" s="140"/>
      <c r="I59" s="140"/>
      <c r="J59" s="140"/>
      <c r="K59" s="140"/>
      <c r="L59" s="140"/>
      <c r="M59" s="140"/>
      <c r="Q59" s="275"/>
      <c r="R59" s="275"/>
      <c r="S59" s="69"/>
      <c r="T59" s="69"/>
      <c r="U59" s="69"/>
      <c r="V59" s="69"/>
      <c r="W59" s="69"/>
      <c r="X59" s="69"/>
      <c r="Y59" s="69"/>
      <c r="Z59" s="69"/>
      <c r="AA59" s="69"/>
      <c r="AB59" s="69"/>
    </row>
    <row r="60" spans="1:28" ht="19.5" x14ac:dyDescent="0.3">
      <c r="A60" s="140"/>
      <c r="B60" s="140"/>
      <c r="C60" s="140"/>
      <c r="D60" s="140"/>
      <c r="E60" s="140"/>
      <c r="F60" s="140"/>
      <c r="G60" s="140"/>
      <c r="H60" s="140"/>
      <c r="I60" s="140"/>
      <c r="J60" s="140"/>
      <c r="K60" s="140"/>
      <c r="L60" s="140"/>
      <c r="M60" s="140"/>
      <c r="Q60" s="275"/>
      <c r="R60" s="275"/>
      <c r="S60" s="69"/>
      <c r="T60" s="69"/>
      <c r="U60" s="69"/>
      <c r="V60" s="69"/>
      <c r="W60" s="69"/>
      <c r="X60" s="69"/>
      <c r="Y60" s="69"/>
      <c r="Z60" s="69"/>
      <c r="AA60" s="69"/>
      <c r="AB60" s="69"/>
    </row>
    <row r="61" spans="1:28" ht="19.5" x14ac:dyDescent="0.3">
      <c r="A61" s="140"/>
      <c r="B61" s="140"/>
      <c r="C61" s="140"/>
      <c r="D61" s="140"/>
      <c r="E61" s="140"/>
      <c r="F61" s="140"/>
      <c r="G61" s="140"/>
      <c r="H61" s="140"/>
      <c r="I61" s="140"/>
      <c r="J61" s="140"/>
      <c r="K61" s="140"/>
      <c r="L61" s="140"/>
      <c r="M61" s="140"/>
      <c r="Q61" s="275"/>
      <c r="R61" s="275"/>
      <c r="S61" s="69"/>
      <c r="T61" s="69"/>
      <c r="U61" s="69"/>
      <c r="V61" s="69"/>
      <c r="W61" s="69"/>
      <c r="X61" s="69"/>
      <c r="Y61" s="69"/>
      <c r="Z61" s="69"/>
      <c r="AA61" s="69"/>
      <c r="AB61" s="69"/>
    </row>
    <row r="62" spans="1:28" ht="19.5" x14ac:dyDescent="0.3">
      <c r="A62" s="140"/>
      <c r="B62" s="140"/>
      <c r="C62" s="140"/>
      <c r="D62" s="140"/>
      <c r="E62" s="140"/>
      <c r="F62" s="140"/>
      <c r="G62" s="140"/>
      <c r="H62" s="140"/>
      <c r="I62" s="140"/>
      <c r="J62" s="140"/>
      <c r="K62" s="140"/>
      <c r="L62" s="140"/>
      <c r="M62" s="140"/>
      <c r="Q62" s="275"/>
      <c r="R62" s="275"/>
    </row>
    <row r="63" spans="1:28" ht="19.5" x14ac:dyDescent="0.3">
      <c r="A63" s="140"/>
      <c r="B63" s="140"/>
      <c r="C63" s="140"/>
      <c r="D63" s="140"/>
      <c r="E63" s="140"/>
      <c r="F63" s="140"/>
      <c r="G63" s="140"/>
      <c r="H63" s="140"/>
      <c r="I63" s="140"/>
      <c r="J63" s="140"/>
      <c r="K63" s="140"/>
      <c r="L63" s="140"/>
      <c r="M63" s="140"/>
      <c r="Q63" s="275"/>
      <c r="R63" s="275"/>
    </row>
    <row r="64" spans="1:28" ht="19.5" x14ac:dyDescent="0.3">
      <c r="A64" s="140"/>
      <c r="B64" s="140"/>
      <c r="C64" s="140"/>
      <c r="D64" s="140"/>
      <c r="E64" s="140"/>
      <c r="F64" s="140"/>
      <c r="G64" s="140"/>
      <c r="H64" s="140"/>
      <c r="I64" s="140"/>
      <c r="J64" s="140"/>
      <c r="K64" s="140"/>
      <c r="L64" s="140"/>
      <c r="M64" s="140"/>
      <c r="Q64" s="275"/>
      <c r="R64" s="275"/>
    </row>
    <row r="65" spans="1:13" ht="19.5" x14ac:dyDescent="0.3">
      <c r="A65" s="140"/>
      <c r="B65" s="140"/>
      <c r="C65" s="140"/>
      <c r="D65" s="140"/>
      <c r="E65" s="140"/>
      <c r="F65" s="140"/>
      <c r="G65" s="140"/>
      <c r="H65" s="140"/>
      <c r="I65" s="140"/>
      <c r="J65" s="140"/>
      <c r="K65" s="140"/>
      <c r="L65" s="140"/>
      <c r="M65" s="140"/>
    </row>
    <row r="66" spans="1:13" ht="19.5" x14ac:dyDescent="0.3">
      <c r="A66" s="140"/>
      <c r="B66" s="140"/>
      <c r="C66" s="140"/>
      <c r="D66" s="140"/>
      <c r="E66" s="140"/>
      <c r="F66" s="140"/>
      <c r="G66" s="140"/>
      <c r="H66" s="140"/>
      <c r="I66" s="140"/>
      <c r="J66" s="140"/>
      <c r="K66" s="140"/>
      <c r="L66" s="140"/>
      <c r="M66" s="140"/>
    </row>
    <row r="67" spans="1:13" ht="19.5" x14ac:dyDescent="0.3">
      <c r="A67" s="140"/>
      <c r="B67" s="272"/>
      <c r="C67" s="272"/>
      <c r="D67" s="147"/>
      <c r="E67" s="147"/>
      <c r="F67" s="147"/>
      <c r="G67" s="147"/>
      <c r="H67" s="147"/>
      <c r="I67" s="147"/>
      <c r="J67" s="147"/>
      <c r="K67" s="147"/>
      <c r="L67" s="147"/>
      <c r="M67" s="140"/>
    </row>
    <row r="68" spans="1:13" ht="19.5" x14ac:dyDescent="0.3">
      <c r="A68" s="140"/>
      <c r="B68" s="272"/>
      <c r="C68" s="272"/>
      <c r="D68" s="147"/>
      <c r="E68" s="147"/>
      <c r="F68" s="147"/>
      <c r="G68" s="147"/>
      <c r="H68" s="147"/>
      <c r="I68" s="147"/>
      <c r="J68" s="147"/>
      <c r="K68" s="147"/>
      <c r="L68" s="147"/>
      <c r="M68" s="140"/>
    </row>
    <row r="69" spans="1:13" ht="19.5" x14ac:dyDescent="0.3">
      <c r="A69" s="140"/>
      <c r="B69" s="272"/>
      <c r="C69" s="272"/>
      <c r="D69" s="147"/>
      <c r="E69" s="147"/>
      <c r="F69" s="147"/>
      <c r="G69" s="147"/>
      <c r="H69" s="147"/>
      <c r="I69" s="147"/>
      <c r="J69" s="147"/>
      <c r="K69" s="147"/>
      <c r="L69" s="147"/>
      <c r="M69" s="140"/>
    </row>
    <row r="70" spans="1:13" ht="19.5" x14ac:dyDescent="0.3">
      <c r="A70" s="140"/>
      <c r="B70" s="272"/>
      <c r="C70" s="272"/>
      <c r="D70" s="147"/>
      <c r="E70" s="147"/>
      <c r="F70" s="147"/>
      <c r="G70" s="147"/>
      <c r="H70" s="147"/>
      <c r="I70" s="147"/>
      <c r="J70" s="147"/>
      <c r="K70" s="147"/>
      <c r="L70" s="147"/>
      <c r="M70" s="140"/>
    </row>
    <row r="71" spans="1:13" ht="19.5" x14ac:dyDescent="0.3">
      <c r="A71" s="140"/>
      <c r="B71" s="272"/>
      <c r="C71" s="272"/>
      <c r="D71" s="147"/>
      <c r="E71" s="147"/>
      <c r="F71" s="147"/>
      <c r="G71" s="147"/>
      <c r="H71" s="147"/>
      <c r="I71" s="147"/>
      <c r="J71" s="147"/>
      <c r="K71" s="147"/>
      <c r="L71" s="147"/>
      <c r="M71" s="140"/>
    </row>
    <row r="72" spans="1:13" ht="19.5" x14ac:dyDescent="0.3">
      <c r="A72" s="140"/>
      <c r="B72" s="272"/>
      <c r="C72" s="272"/>
      <c r="D72" s="147"/>
      <c r="E72" s="147"/>
      <c r="F72" s="147"/>
      <c r="G72" s="147"/>
      <c r="H72" s="147"/>
      <c r="I72" s="147"/>
      <c r="J72" s="147"/>
      <c r="K72" s="147"/>
      <c r="L72" s="147"/>
      <c r="M72" s="140"/>
    </row>
    <row r="73" spans="1:13" ht="19.5" x14ac:dyDescent="0.3">
      <c r="A73" s="140"/>
      <c r="B73" s="272"/>
      <c r="C73" s="272"/>
      <c r="D73" s="147"/>
      <c r="E73" s="147"/>
      <c r="F73" s="147"/>
      <c r="G73" s="147"/>
      <c r="H73" s="147"/>
      <c r="I73" s="147"/>
      <c r="J73" s="147"/>
      <c r="K73" s="147"/>
      <c r="L73" s="147"/>
      <c r="M73" s="140"/>
    </row>
    <row r="74" spans="1:13" ht="19.5" x14ac:dyDescent="0.3">
      <c r="A74" s="140"/>
      <c r="B74" s="272"/>
      <c r="C74" s="272"/>
      <c r="D74" s="147"/>
      <c r="E74" s="147"/>
      <c r="F74" s="147"/>
      <c r="G74" s="147"/>
      <c r="H74" s="147"/>
      <c r="I74" s="147"/>
      <c r="J74" s="147"/>
      <c r="K74" s="147"/>
      <c r="L74" s="147"/>
      <c r="M74" s="140"/>
    </row>
    <row r="75" spans="1:13" ht="19.5" x14ac:dyDescent="0.3">
      <c r="A75" s="140"/>
      <c r="B75" s="272"/>
      <c r="C75" s="272"/>
      <c r="D75" s="147"/>
      <c r="E75" s="147"/>
      <c r="F75" s="147"/>
      <c r="G75" s="147"/>
      <c r="H75" s="147"/>
      <c r="I75" s="147"/>
      <c r="J75" s="147"/>
      <c r="K75" s="147"/>
      <c r="L75" s="147"/>
      <c r="M75" s="140"/>
    </row>
    <row r="76" spans="1:13" ht="19.5" x14ac:dyDescent="0.3">
      <c r="A76" s="140"/>
      <c r="B76" s="272"/>
      <c r="C76" s="272"/>
      <c r="D76" s="140"/>
      <c r="E76" s="140"/>
      <c r="F76" s="140"/>
      <c r="G76" s="140"/>
      <c r="H76" s="140"/>
      <c r="I76" s="140"/>
      <c r="J76" s="140"/>
      <c r="K76" s="140"/>
      <c r="L76" s="140"/>
      <c r="M76" s="140"/>
    </row>
    <row r="77" spans="1:13" ht="19.5" x14ac:dyDescent="0.3">
      <c r="A77" s="140"/>
      <c r="B77" s="272"/>
      <c r="C77" s="272"/>
      <c r="D77" s="140"/>
      <c r="E77" s="140"/>
      <c r="F77" s="140"/>
      <c r="G77" s="140"/>
      <c r="H77" s="140"/>
      <c r="I77" s="140"/>
      <c r="J77" s="140"/>
      <c r="K77" s="140"/>
      <c r="L77" s="140"/>
      <c r="M77" s="140"/>
    </row>
    <row r="78" spans="1:13" ht="19.5" x14ac:dyDescent="0.3">
      <c r="A78" s="140"/>
      <c r="B78" s="272"/>
      <c r="C78" s="272"/>
      <c r="D78" s="140"/>
      <c r="E78" s="140"/>
      <c r="F78" s="140"/>
      <c r="G78" s="140"/>
      <c r="H78" s="140"/>
      <c r="I78" s="140"/>
      <c r="J78" s="140"/>
      <c r="K78" s="140"/>
      <c r="L78" s="140"/>
      <c r="M78" s="140"/>
    </row>
    <row r="79" spans="1:13" ht="19.5" x14ac:dyDescent="0.3">
      <c r="A79" s="140"/>
      <c r="B79" s="272"/>
      <c r="C79" s="272"/>
      <c r="D79" s="140"/>
      <c r="E79" s="140"/>
      <c r="F79" s="140"/>
      <c r="G79" s="140"/>
      <c r="H79" s="140"/>
      <c r="I79" s="140"/>
      <c r="J79" s="140"/>
      <c r="K79" s="140"/>
      <c r="L79" s="140"/>
      <c r="M79" s="140"/>
    </row>
    <row r="80" spans="1:13" ht="19.5" x14ac:dyDescent="0.3">
      <c r="A80" s="140"/>
      <c r="B80" s="272"/>
      <c r="C80" s="272"/>
      <c r="D80" s="140"/>
      <c r="E80" s="140"/>
      <c r="F80" s="140"/>
      <c r="G80" s="140"/>
      <c r="H80" s="140"/>
      <c r="I80" s="140"/>
      <c r="J80" s="140"/>
      <c r="K80" s="140"/>
      <c r="L80" s="140"/>
      <c r="M80" s="140"/>
    </row>
    <row r="81" spans="1:13" ht="19.5" x14ac:dyDescent="0.3">
      <c r="A81" s="140"/>
      <c r="B81" s="272"/>
      <c r="C81" s="272"/>
      <c r="D81" s="140"/>
      <c r="E81" s="140"/>
      <c r="F81" s="140"/>
      <c r="G81" s="140"/>
      <c r="H81" s="140"/>
      <c r="I81" s="140"/>
      <c r="J81" s="140"/>
      <c r="K81" s="140"/>
      <c r="L81" s="140"/>
      <c r="M81" s="140"/>
    </row>
    <row r="82" spans="1:13" ht="19.5" x14ac:dyDescent="0.3">
      <c r="A82" s="140"/>
      <c r="B82" s="272"/>
      <c r="C82" s="272"/>
      <c r="D82" s="140"/>
      <c r="E82" s="140"/>
      <c r="F82" s="140"/>
      <c r="G82" s="140"/>
      <c r="H82" s="140"/>
      <c r="I82" s="140"/>
      <c r="J82" s="140"/>
      <c r="K82" s="140"/>
      <c r="L82" s="140"/>
      <c r="M82" s="140"/>
    </row>
    <row r="83" spans="1:13" ht="19.5" x14ac:dyDescent="0.3">
      <c r="A83" s="140"/>
      <c r="B83" s="272"/>
      <c r="C83" s="272"/>
      <c r="D83" s="140"/>
      <c r="E83" s="140"/>
      <c r="F83" s="140"/>
      <c r="G83" s="140"/>
      <c r="H83" s="140"/>
      <c r="I83" s="140"/>
      <c r="J83" s="140"/>
      <c r="K83" s="140"/>
      <c r="L83" s="140"/>
      <c r="M83" s="140"/>
    </row>
    <row r="84" spans="1:13" ht="19.5" x14ac:dyDescent="0.3">
      <c r="A84" s="140"/>
      <c r="B84" s="272"/>
      <c r="C84" s="272"/>
      <c r="D84" s="140"/>
      <c r="E84" s="140"/>
      <c r="F84" s="140"/>
      <c r="G84" s="140"/>
      <c r="H84" s="140"/>
      <c r="I84" s="140"/>
      <c r="J84" s="140"/>
      <c r="K84" s="140"/>
      <c r="L84" s="140"/>
      <c r="M84" s="140"/>
    </row>
    <row r="85" spans="1:13" ht="19.5" x14ac:dyDescent="0.3">
      <c r="A85" s="140"/>
      <c r="B85" s="272"/>
      <c r="C85" s="272"/>
      <c r="D85" s="140"/>
      <c r="E85" s="140"/>
      <c r="F85" s="140"/>
      <c r="G85" s="140"/>
      <c r="H85" s="140"/>
      <c r="I85" s="140"/>
      <c r="J85" s="140"/>
      <c r="K85" s="140"/>
      <c r="L85" s="140"/>
      <c r="M85" s="140"/>
    </row>
    <row r="86" spans="1:13" ht="19.5" x14ac:dyDescent="0.3">
      <c r="A86" s="140"/>
      <c r="B86" s="272"/>
      <c r="C86" s="272"/>
      <c r="D86" s="140"/>
      <c r="E86" s="140"/>
      <c r="F86" s="140"/>
      <c r="G86" s="140"/>
      <c r="H86" s="140"/>
      <c r="I86" s="140"/>
      <c r="J86" s="140"/>
      <c r="K86" s="140"/>
      <c r="L86" s="140"/>
      <c r="M86" s="140"/>
    </row>
    <row r="87" spans="1:13" ht="19.5" x14ac:dyDescent="0.3">
      <c r="A87" s="140"/>
      <c r="B87" s="272"/>
      <c r="C87" s="272"/>
      <c r="D87" s="140"/>
      <c r="E87" s="140"/>
      <c r="F87" s="140"/>
      <c r="G87" s="140"/>
      <c r="H87" s="140"/>
      <c r="I87" s="140"/>
      <c r="J87" s="140"/>
      <c r="K87" s="140"/>
      <c r="L87" s="140"/>
      <c r="M87" s="140"/>
    </row>
    <row r="88" spans="1:13" ht="19.5" x14ac:dyDescent="0.3">
      <c r="A88" s="140"/>
      <c r="B88" s="272"/>
      <c r="C88" s="272"/>
      <c r="D88" s="140"/>
      <c r="E88" s="140"/>
      <c r="F88" s="140"/>
      <c r="G88" s="140"/>
      <c r="H88" s="140"/>
      <c r="I88" s="140"/>
      <c r="J88" s="140"/>
      <c r="K88" s="140"/>
      <c r="L88" s="140"/>
      <c r="M88" s="140"/>
    </row>
    <row r="89" spans="1:13" ht="19.5" x14ac:dyDescent="0.3">
      <c r="A89" s="140"/>
      <c r="B89" s="272"/>
      <c r="C89" s="272"/>
      <c r="D89" s="140"/>
      <c r="E89" s="140"/>
      <c r="F89" s="140"/>
      <c r="G89" s="140"/>
      <c r="H89" s="140"/>
      <c r="I89" s="140"/>
      <c r="J89" s="140"/>
      <c r="K89" s="140"/>
      <c r="L89" s="140"/>
      <c r="M89" s="140"/>
    </row>
    <row r="90" spans="1:13" ht="19.5" x14ac:dyDescent="0.3">
      <c r="A90" s="140"/>
      <c r="B90" s="272"/>
      <c r="C90" s="272"/>
      <c r="D90" s="140"/>
      <c r="E90" s="140"/>
      <c r="F90" s="140"/>
      <c r="G90" s="140"/>
      <c r="H90" s="140"/>
      <c r="I90" s="140"/>
      <c r="J90" s="140"/>
      <c r="K90" s="140"/>
      <c r="L90" s="140"/>
      <c r="M90" s="140"/>
    </row>
    <row r="91" spans="1:13" ht="19.5" x14ac:dyDescent="0.3">
      <c r="A91" s="140"/>
      <c r="B91" s="272"/>
      <c r="C91" s="272"/>
      <c r="D91" s="140"/>
      <c r="E91" s="140"/>
      <c r="F91" s="140"/>
      <c r="G91" s="140"/>
      <c r="H91" s="140"/>
      <c r="I91" s="140"/>
      <c r="J91" s="140"/>
      <c r="K91" s="140"/>
      <c r="L91" s="140"/>
      <c r="M91" s="140"/>
    </row>
    <row r="92" spans="1:13" ht="19.5" x14ac:dyDescent="0.3">
      <c r="A92" s="140"/>
      <c r="B92" s="272"/>
      <c r="C92" s="272"/>
      <c r="D92" s="140"/>
      <c r="E92" s="140"/>
      <c r="F92" s="140"/>
      <c r="G92" s="140"/>
      <c r="H92" s="140"/>
      <c r="I92" s="140"/>
      <c r="J92" s="140"/>
      <c r="K92" s="140"/>
      <c r="L92" s="140"/>
      <c r="M92" s="140"/>
    </row>
    <row r="93" spans="1:13" ht="19.5" x14ac:dyDescent="0.3">
      <c r="A93" s="140"/>
      <c r="B93" s="272"/>
      <c r="C93" s="272"/>
      <c r="D93" s="140"/>
      <c r="E93" s="140"/>
      <c r="F93" s="140"/>
      <c r="G93" s="140"/>
      <c r="H93" s="140"/>
      <c r="I93" s="140"/>
      <c r="J93" s="140"/>
      <c r="K93" s="140"/>
      <c r="L93" s="140"/>
      <c r="M93" s="140"/>
    </row>
    <row r="94" spans="1:13" ht="19.5" x14ac:dyDescent="0.3">
      <c r="A94" s="140"/>
      <c r="B94" s="272"/>
      <c r="C94" s="272"/>
      <c r="D94" s="140"/>
      <c r="E94" s="140"/>
      <c r="F94" s="140"/>
      <c r="G94" s="140"/>
      <c r="H94" s="140"/>
      <c r="I94" s="140"/>
      <c r="J94" s="140"/>
      <c r="K94" s="140"/>
      <c r="L94" s="140"/>
      <c r="M94" s="140"/>
    </row>
    <row r="95" spans="1:13" ht="19.5" x14ac:dyDescent="0.3">
      <c r="A95" s="140"/>
      <c r="B95" s="272"/>
      <c r="C95" s="272"/>
      <c r="D95" s="140"/>
      <c r="E95" s="140"/>
      <c r="F95" s="140"/>
      <c r="G95" s="140"/>
      <c r="H95" s="140"/>
      <c r="I95" s="140"/>
      <c r="J95" s="140"/>
      <c r="K95" s="140"/>
      <c r="L95" s="140"/>
      <c r="M95" s="140"/>
    </row>
    <row r="96" spans="1:13" ht="19.5" x14ac:dyDescent="0.3">
      <c r="A96" s="140"/>
      <c r="B96" s="272"/>
      <c r="C96" s="272"/>
      <c r="D96" s="140"/>
      <c r="E96" s="140"/>
      <c r="F96" s="140"/>
      <c r="G96" s="140"/>
      <c r="H96" s="140"/>
      <c r="I96" s="140"/>
      <c r="J96" s="140"/>
      <c r="K96" s="140"/>
      <c r="L96" s="140"/>
      <c r="M96" s="140"/>
    </row>
    <row r="97" spans="1:13" ht="19.5" x14ac:dyDescent="0.3">
      <c r="A97" s="140"/>
      <c r="B97" s="272"/>
      <c r="C97" s="272"/>
      <c r="D97" s="140"/>
      <c r="E97" s="140"/>
      <c r="F97" s="140"/>
      <c r="G97" s="140"/>
      <c r="H97" s="140"/>
      <c r="I97" s="140"/>
      <c r="J97" s="140"/>
      <c r="K97" s="140"/>
      <c r="L97" s="140"/>
      <c r="M97" s="140"/>
    </row>
    <row r="98" spans="1:13" ht="19.5" x14ac:dyDescent="0.3">
      <c r="A98" s="140"/>
      <c r="B98" s="272"/>
      <c r="C98" s="272"/>
      <c r="D98" s="140"/>
      <c r="E98" s="140"/>
      <c r="F98" s="140"/>
      <c r="G98" s="140"/>
      <c r="H98" s="140"/>
      <c r="I98" s="140"/>
      <c r="J98" s="140"/>
      <c r="K98" s="140"/>
      <c r="L98" s="140"/>
      <c r="M98" s="140"/>
    </row>
    <row r="99" spans="1:13" ht="19.5" x14ac:dyDescent="0.3">
      <c r="A99" s="140"/>
      <c r="B99" s="272"/>
      <c r="C99" s="272"/>
      <c r="D99" s="140"/>
      <c r="E99" s="140"/>
      <c r="F99" s="140"/>
      <c r="G99" s="140"/>
      <c r="H99" s="140"/>
      <c r="I99" s="140"/>
      <c r="J99" s="140"/>
      <c r="K99" s="140"/>
      <c r="L99" s="140"/>
      <c r="M99" s="140"/>
    </row>
    <row r="100" spans="1:13" ht="19.5" x14ac:dyDescent="0.3">
      <c r="A100" s="140"/>
      <c r="B100" s="272"/>
      <c r="C100" s="272"/>
      <c r="D100" s="140"/>
      <c r="E100" s="140"/>
      <c r="F100" s="140"/>
      <c r="G100" s="140"/>
      <c r="H100" s="140"/>
      <c r="I100" s="140"/>
      <c r="J100" s="140"/>
      <c r="K100" s="140"/>
      <c r="L100" s="140"/>
      <c r="M100" s="140"/>
    </row>
    <row r="101" spans="1:13" ht="19.5" x14ac:dyDescent="0.3">
      <c r="A101" s="140"/>
      <c r="B101" s="272"/>
      <c r="C101" s="272"/>
      <c r="D101" s="140"/>
      <c r="E101" s="140"/>
      <c r="F101" s="140"/>
      <c r="G101" s="140"/>
      <c r="H101" s="140"/>
      <c r="I101" s="140"/>
      <c r="J101" s="140"/>
      <c r="K101" s="140"/>
      <c r="L101" s="140"/>
      <c r="M101" s="140"/>
    </row>
    <row r="102" spans="1:13" ht="19.5" x14ac:dyDescent="0.3">
      <c r="A102" s="140"/>
      <c r="B102" s="272"/>
      <c r="C102" s="272"/>
      <c r="D102" s="140"/>
      <c r="E102" s="140"/>
      <c r="F102" s="140"/>
      <c r="G102" s="140"/>
      <c r="H102" s="140"/>
      <c r="I102" s="140"/>
      <c r="J102" s="140"/>
      <c r="K102" s="140"/>
      <c r="L102" s="140"/>
      <c r="M102" s="140"/>
    </row>
    <row r="103" spans="1:13" ht="19.5" x14ac:dyDescent="0.3">
      <c r="A103" s="140"/>
      <c r="B103" s="272"/>
      <c r="C103" s="272"/>
      <c r="D103" s="140"/>
      <c r="E103" s="140"/>
      <c r="F103" s="140"/>
      <c r="G103" s="140"/>
      <c r="H103" s="140"/>
      <c r="I103" s="140"/>
      <c r="J103" s="140"/>
      <c r="K103" s="140"/>
      <c r="L103" s="140"/>
      <c r="M103" s="140"/>
    </row>
    <row r="104" spans="1:13" ht="19.5" x14ac:dyDescent="0.3">
      <c r="A104" s="140"/>
      <c r="B104" s="272"/>
      <c r="C104" s="272"/>
      <c r="D104" s="140"/>
      <c r="E104" s="140"/>
      <c r="F104" s="140"/>
      <c r="G104" s="140"/>
      <c r="H104" s="140"/>
      <c r="I104" s="140"/>
      <c r="J104" s="140"/>
      <c r="K104" s="140"/>
      <c r="L104" s="140"/>
      <c r="M104" s="140"/>
    </row>
    <row r="105" spans="1:13" ht="19.5" x14ac:dyDescent="0.3">
      <c r="A105" s="140"/>
      <c r="B105" s="272"/>
      <c r="C105" s="272"/>
      <c r="D105" s="140"/>
      <c r="E105" s="140"/>
      <c r="F105" s="140"/>
      <c r="G105" s="140"/>
      <c r="H105" s="140"/>
      <c r="I105" s="140"/>
      <c r="J105" s="140"/>
      <c r="K105" s="140"/>
      <c r="L105" s="140"/>
      <c r="M105" s="140"/>
    </row>
    <row r="106" spans="1:13" ht="19.5" x14ac:dyDescent="0.3">
      <c r="A106" s="140"/>
      <c r="B106" s="272"/>
      <c r="C106" s="272"/>
      <c r="D106" s="140"/>
      <c r="E106" s="140"/>
      <c r="F106" s="140"/>
      <c r="G106" s="140"/>
      <c r="H106" s="140"/>
      <c r="I106" s="140"/>
      <c r="J106" s="140"/>
      <c r="K106" s="140"/>
      <c r="L106" s="140"/>
      <c r="M106" s="140"/>
    </row>
    <row r="107" spans="1:13" ht="19.5" x14ac:dyDescent="0.3">
      <c r="A107" s="140"/>
      <c r="B107" s="272"/>
      <c r="C107" s="272"/>
      <c r="D107" s="140"/>
      <c r="E107" s="140"/>
      <c r="F107" s="140"/>
      <c r="G107" s="140"/>
      <c r="H107" s="140"/>
      <c r="I107" s="140"/>
      <c r="J107" s="140"/>
      <c r="K107" s="140"/>
      <c r="L107" s="140"/>
      <c r="M107" s="140"/>
    </row>
    <row r="108" spans="1:13" ht="19.5" x14ac:dyDescent="0.3">
      <c r="A108" s="140"/>
      <c r="B108" s="272"/>
      <c r="C108" s="272"/>
      <c r="D108" s="140"/>
      <c r="E108" s="140"/>
      <c r="F108" s="140"/>
      <c r="G108" s="140"/>
      <c r="H108" s="140"/>
      <c r="I108" s="140"/>
      <c r="J108" s="140"/>
      <c r="K108" s="140"/>
      <c r="L108" s="140"/>
      <c r="M108" s="140"/>
    </row>
    <row r="109" spans="1:13" ht="19.5" x14ac:dyDescent="0.3">
      <c r="A109" s="140"/>
      <c r="B109" s="272"/>
      <c r="C109" s="272"/>
      <c r="D109" s="140"/>
      <c r="E109" s="140"/>
      <c r="F109" s="140"/>
      <c r="G109" s="140"/>
      <c r="H109" s="140"/>
      <c r="I109" s="140"/>
      <c r="J109" s="140"/>
      <c r="K109" s="140"/>
      <c r="L109" s="140"/>
      <c r="M109" s="140"/>
    </row>
    <row r="110" spans="1:13" ht="19.5" x14ac:dyDescent="0.3">
      <c r="A110" s="140"/>
      <c r="B110" s="272"/>
      <c r="C110" s="272"/>
      <c r="D110" s="140"/>
      <c r="E110" s="140"/>
      <c r="F110" s="140"/>
      <c r="G110" s="140"/>
      <c r="H110" s="140"/>
      <c r="I110" s="140"/>
      <c r="J110" s="140"/>
      <c r="K110" s="140"/>
      <c r="L110" s="140"/>
      <c r="M110" s="140"/>
    </row>
    <row r="111" spans="1:13" ht="19.5" x14ac:dyDescent="0.3">
      <c r="A111" s="140"/>
      <c r="B111" s="272"/>
      <c r="C111" s="272"/>
      <c r="D111" s="140"/>
      <c r="E111" s="140"/>
      <c r="F111" s="140"/>
      <c r="G111" s="140"/>
      <c r="H111" s="140"/>
      <c r="I111" s="140"/>
      <c r="J111" s="140"/>
      <c r="K111" s="140"/>
      <c r="L111" s="140"/>
      <c r="M111" s="140"/>
    </row>
    <row r="112" spans="1:13" ht="19.5" x14ac:dyDescent="0.3">
      <c r="A112" s="140"/>
      <c r="B112" s="272"/>
      <c r="C112" s="272"/>
      <c r="D112" s="140"/>
      <c r="E112" s="140"/>
      <c r="F112" s="140"/>
      <c r="G112" s="140"/>
      <c r="H112" s="140"/>
      <c r="I112" s="140"/>
      <c r="J112" s="140"/>
      <c r="K112" s="140"/>
      <c r="L112" s="140"/>
      <c r="M112" s="140"/>
    </row>
    <row r="113" spans="1:13" ht="19.5" x14ac:dyDescent="0.3">
      <c r="A113" s="140"/>
      <c r="B113" s="272"/>
      <c r="C113" s="272"/>
      <c r="D113" s="140"/>
      <c r="E113" s="140"/>
      <c r="F113" s="140"/>
      <c r="G113" s="140"/>
      <c r="H113" s="140"/>
      <c r="I113" s="140"/>
      <c r="J113" s="140"/>
      <c r="K113" s="140"/>
      <c r="L113" s="140"/>
      <c r="M113" s="140"/>
    </row>
    <row r="114" spans="1:13" ht="19.5" x14ac:dyDescent="0.3">
      <c r="A114" s="140"/>
      <c r="B114" s="272"/>
      <c r="C114" s="272"/>
      <c r="D114" s="140"/>
      <c r="E114" s="140"/>
      <c r="F114" s="140"/>
      <c r="G114" s="140"/>
      <c r="H114" s="140"/>
      <c r="I114" s="140"/>
      <c r="J114" s="140"/>
      <c r="K114" s="140"/>
      <c r="L114" s="140"/>
      <c r="M114" s="140"/>
    </row>
    <row r="115" spans="1:13" ht="19.5" x14ac:dyDescent="0.3">
      <c r="A115" s="140"/>
      <c r="B115" s="272"/>
      <c r="C115" s="272"/>
      <c r="D115" s="140"/>
      <c r="E115" s="140"/>
      <c r="F115" s="140"/>
      <c r="G115" s="140"/>
      <c r="H115" s="140"/>
      <c r="I115" s="140"/>
      <c r="J115" s="140"/>
      <c r="K115" s="140"/>
      <c r="L115" s="140"/>
      <c r="M115" s="140"/>
    </row>
    <row r="116" spans="1:13" ht="19.5" x14ac:dyDescent="0.3">
      <c r="A116" s="140"/>
      <c r="B116" s="272"/>
      <c r="C116" s="272"/>
      <c r="D116" s="140"/>
      <c r="E116" s="140"/>
      <c r="F116" s="140"/>
      <c r="G116" s="140"/>
      <c r="H116" s="140"/>
      <c r="I116" s="140"/>
      <c r="J116" s="140"/>
      <c r="K116" s="140"/>
      <c r="L116" s="140"/>
      <c r="M116" s="140"/>
    </row>
    <row r="117" spans="1:13" ht="19.5" x14ac:dyDescent="0.3">
      <c r="A117" s="140"/>
      <c r="B117" s="272"/>
      <c r="C117" s="272"/>
      <c r="D117" s="140"/>
      <c r="E117" s="140"/>
      <c r="F117" s="140"/>
      <c r="G117" s="140"/>
      <c r="H117" s="140"/>
      <c r="I117" s="140"/>
      <c r="J117" s="140"/>
      <c r="K117" s="140"/>
      <c r="L117" s="140"/>
      <c r="M117" s="140"/>
    </row>
    <row r="118" spans="1:13" ht="19.5" x14ac:dyDescent="0.3">
      <c r="A118" s="140"/>
      <c r="B118" s="272"/>
      <c r="C118" s="272"/>
      <c r="D118" s="140"/>
      <c r="E118" s="140"/>
      <c r="F118" s="140"/>
      <c r="G118" s="140"/>
      <c r="H118" s="140"/>
      <c r="I118" s="140"/>
      <c r="J118" s="140"/>
      <c r="K118" s="140"/>
      <c r="L118" s="140"/>
      <c r="M118" s="140"/>
    </row>
    <row r="119" spans="1:13" ht="19.5" x14ac:dyDescent="0.3">
      <c r="A119" s="140"/>
      <c r="B119" s="272"/>
      <c r="C119" s="272"/>
      <c r="D119" s="140"/>
      <c r="E119" s="140"/>
      <c r="F119" s="140"/>
      <c r="G119" s="140"/>
      <c r="H119" s="140"/>
      <c r="I119" s="140"/>
      <c r="J119" s="140"/>
      <c r="K119" s="140"/>
      <c r="L119" s="140"/>
      <c r="M119" s="140"/>
    </row>
    <row r="120" spans="1:13" ht="19.5" x14ac:dyDescent="0.3">
      <c r="A120" s="140"/>
      <c r="B120" s="272"/>
      <c r="C120" s="272"/>
      <c r="D120" s="140"/>
      <c r="E120" s="140"/>
      <c r="F120" s="140"/>
      <c r="G120" s="140"/>
      <c r="H120" s="140"/>
      <c r="I120" s="140"/>
      <c r="J120" s="140"/>
      <c r="K120" s="140"/>
      <c r="L120" s="140"/>
      <c r="M120" s="140"/>
    </row>
    <row r="121" spans="1:13" ht="19.5" x14ac:dyDescent="0.3">
      <c r="A121" s="140"/>
      <c r="B121" s="272"/>
      <c r="C121" s="272"/>
      <c r="D121" s="140"/>
      <c r="E121" s="140"/>
      <c r="F121" s="140"/>
      <c r="G121" s="140"/>
      <c r="H121" s="140"/>
      <c r="I121" s="140"/>
      <c r="J121" s="140"/>
      <c r="K121" s="140"/>
      <c r="L121" s="140"/>
      <c r="M121" s="140"/>
    </row>
    <row r="122" spans="1:13" ht="19.5" x14ac:dyDescent="0.3">
      <c r="A122" s="140"/>
      <c r="B122" s="272"/>
      <c r="C122" s="272"/>
      <c r="D122" s="140"/>
      <c r="E122" s="140"/>
      <c r="F122" s="140"/>
      <c r="G122" s="140"/>
      <c r="H122" s="140"/>
      <c r="I122" s="140"/>
      <c r="J122" s="140"/>
      <c r="K122" s="140"/>
      <c r="L122" s="140"/>
      <c r="M122" s="140"/>
    </row>
    <row r="123" spans="1:13" ht="19.5" x14ac:dyDescent="0.3">
      <c r="A123" s="140"/>
      <c r="B123" s="272"/>
      <c r="C123" s="272"/>
      <c r="D123" s="140"/>
      <c r="E123" s="140"/>
      <c r="F123" s="140"/>
      <c r="G123" s="140"/>
      <c r="H123" s="140"/>
      <c r="I123" s="140"/>
      <c r="J123" s="140"/>
      <c r="K123" s="140"/>
      <c r="L123" s="140"/>
      <c r="M123" s="140"/>
    </row>
    <row r="124" spans="1:13" ht="19.5" x14ac:dyDescent="0.3">
      <c r="A124" s="140"/>
      <c r="B124" s="272"/>
      <c r="C124" s="272"/>
      <c r="D124" s="140"/>
      <c r="E124" s="140"/>
      <c r="F124" s="140"/>
      <c r="G124" s="140"/>
      <c r="H124" s="140"/>
      <c r="I124" s="140"/>
      <c r="J124" s="140"/>
      <c r="K124" s="140"/>
      <c r="L124" s="140"/>
      <c r="M124" s="140"/>
    </row>
    <row r="125" spans="1:13" ht="19.5" x14ac:dyDescent="0.3">
      <c r="A125" s="140"/>
      <c r="B125" s="272"/>
      <c r="C125" s="272"/>
      <c r="D125" s="140"/>
      <c r="E125" s="140"/>
      <c r="F125" s="140"/>
      <c r="G125" s="140"/>
      <c r="H125" s="140"/>
      <c r="I125" s="140"/>
      <c r="J125" s="140"/>
      <c r="K125" s="140"/>
      <c r="L125" s="140"/>
      <c r="M125" s="140"/>
    </row>
    <row r="126" spans="1:13" ht="19.5" x14ac:dyDescent="0.3">
      <c r="A126" s="140"/>
      <c r="B126" s="272"/>
      <c r="C126" s="272"/>
      <c r="D126" s="140"/>
      <c r="E126" s="140"/>
      <c r="F126" s="140"/>
      <c r="G126" s="140"/>
      <c r="H126" s="140"/>
      <c r="I126" s="140"/>
      <c r="J126" s="140"/>
      <c r="K126" s="140"/>
      <c r="L126" s="140"/>
      <c r="M126" s="140"/>
    </row>
    <row r="127" spans="1:13" ht="19.5" x14ac:dyDescent="0.3">
      <c r="A127" s="140"/>
      <c r="B127" s="272"/>
      <c r="C127" s="272"/>
      <c r="D127" s="140"/>
      <c r="E127" s="140"/>
      <c r="F127" s="140"/>
      <c r="G127" s="140"/>
      <c r="H127" s="140"/>
      <c r="I127" s="140"/>
      <c r="J127" s="140"/>
      <c r="K127" s="140"/>
      <c r="L127" s="140"/>
      <c r="M127" s="140"/>
    </row>
    <row r="128" spans="1:13" ht="19.5" x14ac:dyDescent="0.3">
      <c r="A128" s="140"/>
      <c r="B128" s="272"/>
      <c r="C128" s="272"/>
      <c r="D128" s="140"/>
      <c r="E128" s="140"/>
      <c r="F128" s="140"/>
      <c r="G128" s="140"/>
      <c r="H128" s="140"/>
      <c r="I128" s="140"/>
      <c r="J128" s="140"/>
      <c r="K128" s="140"/>
      <c r="L128" s="140"/>
      <c r="M128" s="140"/>
    </row>
    <row r="129" spans="1:13" ht="19.5" x14ac:dyDescent="0.3">
      <c r="A129" s="140"/>
      <c r="B129" s="272"/>
      <c r="C129" s="272"/>
      <c r="D129" s="140"/>
      <c r="E129" s="140"/>
      <c r="F129" s="140"/>
      <c r="G129" s="140"/>
      <c r="H129" s="140"/>
      <c r="I129" s="140"/>
      <c r="J129" s="140"/>
      <c r="K129" s="140"/>
      <c r="L129" s="140"/>
      <c r="M129" s="140"/>
    </row>
    <row r="130" spans="1:13" ht="19.5" x14ac:dyDescent="0.3">
      <c r="A130" s="140"/>
      <c r="B130" s="272"/>
      <c r="C130" s="272"/>
      <c r="D130" s="140"/>
      <c r="E130" s="140"/>
      <c r="F130" s="140"/>
      <c r="G130" s="140"/>
      <c r="H130" s="140"/>
      <c r="I130" s="140"/>
      <c r="J130" s="140"/>
      <c r="K130" s="140"/>
      <c r="L130" s="140"/>
      <c r="M130" s="140"/>
    </row>
    <row r="131" spans="1:13" ht="19.5" x14ac:dyDescent="0.3">
      <c r="A131" s="140"/>
      <c r="B131" s="272"/>
      <c r="C131" s="272"/>
      <c r="D131" s="140"/>
      <c r="E131" s="140"/>
      <c r="F131" s="140"/>
      <c r="G131" s="140"/>
      <c r="H131" s="140"/>
      <c r="I131" s="140"/>
      <c r="J131" s="140"/>
      <c r="K131" s="140"/>
      <c r="L131" s="140"/>
      <c r="M131" s="140"/>
    </row>
    <row r="132" spans="1:13" x14ac:dyDescent="0.3">
      <c r="B132" s="275"/>
      <c r="C132" s="275"/>
    </row>
    <row r="133" spans="1:13" x14ac:dyDescent="0.3">
      <c r="B133" s="275"/>
      <c r="C133" s="275"/>
    </row>
    <row r="134" spans="1:13" x14ac:dyDescent="0.3">
      <c r="B134" s="275"/>
      <c r="C134" s="275"/>
    </row>
    <row r="135" spans="1:13" x14ac:dyDescent="0.3">
      <c r="B135" s="275"/>
      <c r="C135" s="275"/>
    </row>
    <row r="136" spans="1:13" x14ac:dyDescent="0.3">
      <c r="B136" s="275"/>
      <c r="C136" s="275"/>
    </row>
  </sheetData>
  <mergeCells count="94">
    <mergeCell ref="B3:M3"/>
    <mergeCell ref="B47:L47"/>
    <mergeCell ref="C49:L49"/>
    <mergeCell ref="Q56:R56"/>
    <mergeCell ref="B5:C5"/>
    <mergeCell ref="Q51:R51"/>
    <mergeCell ref="Q52:R52"/>
    <mergeCell ref="Q53:R53"/>
    <mergeCell ref="Q54:R54"/>
    <mergeCell ref="Q55:R55"/>
    <mergeCell ref="B17:L17"/>
    <mergeCell ref="B19:B20"/>
    <mergeCell ref="B28:L28"/>
    <mergeCell ref="C19:L19"/>
    <mergeCell ref="C30:L30"/>
    <mergeCell ref="B121:C121"/>
    <mergeCell ref="B110:C110"/>
    <mergeCell ref="Q63:R63"/>
    <mergeCell ref="Q64:R64"/>
    <mergeCell ref="Q57:R57"/>
    <mergeCell ref="Q58:R58"/>
    <mergeCell ref="Q59:R59"/>
    <mergeCell ref="Q60:R60"/>
    <mergeCell ref="Q61:R61"/>
    <mergeCell ref="Q62:R62"/>
    <mergeCell ref="B116:C116"/>
    <mergeCell ref="B117:C117"/>
    <mergeCell ref="B118:C118"/>
    <mergeCell ref="B119:C119"/>
    <mergeCell ref="B120:C120"/>
    <mergeCell ref="B109:C109"/>
    <mergeCell ref="B134:C134"/>
    <mergeCell ref="B135:C135"/>
    <mergeCell ref="B136:C136"/>
    <mergeCell ref="B128:C128"/>
    <mergeCell ref="B129:C129"/>
    <mergeCell ref="B130:C130"/>
    <mergeCell ref="B131:C131"/>
    <mergeCell ref="B132:C132"/>
    <mergeCell ref="B133:C133"/>
    <mergeCell ref="B127:C127"/>
    <mergeCell ref="B104:C104"/>
    <mergeCell ref="B105:C105"/>
    <mergeCell ref="B106:C106"/>
    <mergeCell ref="B107:C107"/>
    <mergeCell ref="B108:C108"/>
    <mergeCell ref="B111:C111"/>
    <mergeCell ref="B112:C112"/>
    <mergeCell ref="B113:C113"/>
    <mergeCell ref="B114:C114"/>
    <mergeCell ref="B115:C115"/>
    <mergeCell ref="B122:C122"/>
    <mergeCell ref="B123:C123"/>
    <mergeCell ref="B124:C124"/>
    <mergeCell ref="B125:C125"/>
    <mergeCell ref="B126:C126"/>
    <mergeCell ref="B103:C103"/>
    <mergeCell ref="B92:C92"/>
    <mergeCell ref="B93:C93"/>
    <mergeCell ref="B94:C94"/>
    <mergeCell ref="B95:C95"/>
    <mergeCell ref="B96:C96"/>
    <mergeCell ref="B97:C97"/>
    <mergeCell ref="B98:C98"/>
    <mergeCell ref="B99:C99"/>
    <mergeCell ref="B100:C100"/>
    <mergeCell ref="B101:C101"/>
    <mergeCell ref="B102:C102"/>
    <mergeCell ref="B91:C91"/>
    <mergeCell ref="B80:C80"/>
    <mergeCell ref="B81:C81"/>
    <mergeCell ref="B82:C82"/>
    <mergeCell ref="B83:C83"/>
    <mergeCell ref="B84:C84"/>
    <mergeCell ref="B85:C85"/>
    <mergeCell ref="B86:C86"/>
    <mergeCell ref="B87:C87"/>
    <mergeCell ref="B88:C88"/>
    <mergeCell ref="B89:C89"/>
    <mergeCell ref="B90:C90"/>
    <mergeCell ref="B67:C67"/>
    <mergeCell ref="B30:B31"/>
    <mergeCell ref="B79:C79"/>
    <mergeCell ref="B68:C68"/>
    <mergeCell ref="B69:C69"/>
    <mergeCell ref="B70:C70"/>
    <mergeCell ref="B71:C71"/>
    <mergeCell ref="B72:C72"/>
    <mergeCell ref="B73:C73"/>
    <mergeCell ref="B74:C74"/>
    <mergeCell ref="B75:C75"/>
    <mergeCell ref="B76:C76"/>
    <mergeCell ref="B77:C77"/>
    <mergeCell ref="B78:C78"/>
  </mergeCells>
  <pageMargins left="0.7" right="0.7" top="0.75" bottom="0.75" header="0.3" footer="0.3"/>
  <pageSetup orientation="portrait" r:id="rId1"/>
  <ignoredErrors>
    <ignoredError sqref="H41"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7178" r:id="rId4" name="Button 10">
              <controlPr defaultSize="0" print="0" autoFill="0" autoPict="0" macro="[0]!ingresos">
                <anchor moveWithCells="1" sizeWithCells="1">
                  <from>
                    <xdr:col>5</xdr:col>
                    <xdr:colOff>180975</xdr:colOff>
                    <xdr:row>6</xdr:row>
                    <xdr:rowOff>57150</xdr:rowOff>
                  </from>
                  <to>
                    <xdr:col>6</xdr:col>
                    <xdr:colOff>533400</xdr:colOff>
                    <xdr:row>7</xdr:row>
                    <xdr:rowOff>123825</xdr:rowOff>
                  </to>
                </anchor>
              </controlPr>
            </control>
          </mc:Choice>
        </mc:AlternateContent>
        <mc:AlternateContent xmlns:mc="http://schemas.openxmlformats.org/markup-compatibility/2006">
          <mc:Choice Requires="x14">
            <control shapeId="7179" r:id="rId5" name="Button 11">
              <controlPr defaultSize="0" print="0" autoFill="0" autoPict="0" macro="[0]!flujos2">
                <anchor moveWithCells="1" sizeWithCells="1">
                  <from>
                    <xdr:col>8</xdr:col>
                    <xdr:colOff>647700</xdr:colOff>
                    <xdr:row>6</xdr:row>
                    <xdr:rowOff>76200</xdr:rowOff>
                  </from>
                  <to>
                    <xdr:col>9</xdr:col>
                    <xdr:colOff>1000125</xdr:colOff>
                    <xdr:row>7</xdr:row>
                    <xdr:rowOff>133350</xdr:rowOff>
                  </to>
                </anchor>
              </controlPr>
            </control>
          </mc:Choice>
        </mc:AlternateContent>
        <mc:AlternateContent xmlns:mc="http://schemas.openxmlformats.org/markup-compatibility/2006">
          <mc:Choice Requires="x14">
            <control shapeId="7180" r:id="rId6" name="Button 12">
              <controlPr defaultSize="0" print="0" autoFill="0" autoPict="0" macro="[0]!egresos">
                <anchor moveWithCells="1" sizeWithCells="1">
                  <from>
                    <xdr:col>6</xdr:col>
                    <xdr:colOff>1085850</xdr:colOff>
                    <xdr:row>6</xdr:row>
                    <xdr:rowOff>66675</xdr:rowOff>
                  </from>
                  <to>
                    <xdr:col>8</xdr:col>
                    <xdr:colOff>152400</xdr:colOff>
                    <xdr:row>7</xdr:row>
                    <xdr:rowOff>133350</xdr:rowOff>
                  </to>
                </anchor>
              </controlPr>
            </control>
          </mc:Choice>
        </mc:AlternateContent>
        <mc:AlternateContent xmlns:mc="http://schemas.openxmlformats.org/markup-compatibility/2006">
          <mc:Choice Requires="x14">
            <control shapeId="7181" r:id="rId7" name="Button 13">
              <controlPr defaultSize="0" print="0" autoFill="0" autoPict="0" macro="[0]!Regresar2">
                <anchor moveWithCells="1" sizeWithCells="1">
                  <from>
                    <xdr:col>1</xdr:col>
                    <xdr:colOff>247650</xdr:colOff>
                    <xdr:row>22</xdr:row>
                    <xdr:rowOff>57150</xdr:rowOff>
                  </from>
                  <to>
                    <xdr:col>1</xdr:col>
                    <xdr:colOff>1885950</xdr:colOff>
                    <xdr:row>23</xdr:row>
                    <xdr:rowOff>180975</xdr:rowOff>
                  </to>
                </anchor>
              </controlPr>
            </control>
          </mc:Choice>
        </mc:AlternateContent>
        <mc:AlternateContent xmlns:mc="http://schemas.openxmlformats.org/markup-compatibility/2006">
          <mc:Choice Requires="x14">
            <control shapeId="7182" r:id="rId8" name="Button 14">
              <controlPr defaultSize="0" print="0" autoFill="0" autoPict="0" macro="[0]!Regresar2">
                <anchor moveWithCells="1" sizeWithCells="1">
                  <from>
                    <xdr:col>1</xdr:col>
                    <xdr:colOff>247650</xdr:colOff>
                    <xdr:row>42</xdr:row>
                    <xdr:rowOff>57150</xdr:rowOff>
                  </from>
                  <to>
                    <xdr:col>1</xdr:col>
                    <xdr:colOff>1885950</xdr:colOff>
                    <xdr:row>43</xdr:row>
                    <xdr:rowOff>180975</xdr:rowOff>
                  </to>
                </anchor>
              </controlPr>
            </control>
          </mc:Choice>
        </mc:AlternateContent>
        <mc:AlternateContent xmlns:mc="http://schemas.openxmlformats.org/markup-compatibility/2006">
          <mc:Choice Requires="x14">
            <control shapeId="7184" r:id="rId9" name="Button 16">
              <controlPr defaultSize="0" print="0" autoFill="0" autoPict="0" macro="[0]!Regresar2">
                <anchor moveWithCells="1" sizeWithCells="1">
                  <from>
                    <xdr:col>1</xdr:col>
                    <xdr:colOff>247650</xdr:colOff>
                    <xdr:row>53</xdr:row>
                    <xdr:rowOff>57150</xdr:rowOff>
                  </from>
                  <to>
                    <xdr:col>1</xdr:col>
                    <xdr:colOff>1885950</xdr:colOff>
                    <xdr:row>54</xdr:row>
                    <xdr:rowOff>247650</xdr:rowOff>
                  </to>
                </anchor>
              </controlPr>
            </control>
          </mc:Choice>
        </mc:AlternateContent>
        <mc:AlternateContent xmlns:mc="http://schemas.openxmlformats.org/markup-compatibility/2006">
          <mc:Choice Requires="x14">
            <control shapeId="7187" r:id="rId10" name="Button 19">
              <controlPr defaultSize="0" print="0" autoFill="0" autoPict="0" macro="[0]!INGRESO_D">
                <anchor moveWithCells="1" sizeWithCells="1">
                  <from>
                    <xdr:col>1</xdr:col>
                    <xdr:colOff>2552700</xdr:colOff>
                    <xdr:row>0</xdr:row>
                    <xdr:rowOff>152400</xdr:rowOff>
                  </from>
                  <to>
                    <xdr:col>2</xdr:col>
                    <xdr:colOff>1495425</xdr:colOff>
                    <xdr:row>0</xdr:row>
                    <xdr:rowOff>504825</xdr:rowOff>
                  </to>
                </anchor>
              </controlPr>
            </control>
          </mc:Choice>
        </mc:AlternateContent>
        <mc:AlternateContent xmlns:mc="http://schemas.openxmlformats.org/markup-compatibility/2006">
          <mc:Choice Requires="x14">
            <control shapeId="7188" r:id="rId11" name="Button 20">
              <controlPr defaultSize="0" print="0" autoFill="0" autoPict="0" macro="[0]!ESTADO_RE">
                <anchor moveWithCells="1" sizeWithCells="1">
                  <from>
                    <xdr:col>7</xdr:col>
                    <xdr:colOff>247650</xdr:colOff>
                    <xdr:row>0</xdr:row>
                    <xdr:rowOff>142875</xdr:rowOff>
                  </from>
                  <to>
                    <xdr:col>7</xdr:col>
                    <xdr:colOff>1428750</xdr:colOff>
                    <xdr:row>0</xdr:row>
                    <xdr:rowOff>504825</xdr:rowOff>
                  </to>
                </anchor>
              </controlPr>
            </control>
          </mc:Choice>
        </mc:AlternateContent>
        <mc:AlternateContent xmlns:mc="http://schemas.openxmlformats.org/markup-compatibility/2006">
          <mc:Choice Requires="x14">
            <control shapeId="7189" r:id="rId12" name="Button 21">
              <controlPr defaultSize="0" print="0" autoFill="0" autoPict="0" macro="[0]!COSTO_PRO">
                <anchor moveWithCells="1" sizeWithCells="1">
                  <from>
                    <xdr:col>3</xdr:col>
                    <xdr:colOff>76200</xdr:colOff>
                    <xdr:row>0</xdr:row>
                    <xdr:rowOff>123825</xdr:rowOff>
                  </from>
                  <to>
                    <xdr:col>4</xdr:col>
                    <xdr:colOff>247650</xdr:colOff>
                    <xdr:row>0</xdr:row>
                    <xdr:rowOff>485775</xdr:rowOff>
                  </to>
                </anchor>
              </controlPr>
            </control>
          </mc:Choice>
        </mc:AlternateContent>
        <mc:AlternateContent xmlns:mc="http://schemas.openxmlformats.org/markup-compatibility/2006">
          <mc:Choice Requires="x14">
            <control shapeId="7190" r:id="rId13" name="Button 22">
              <controlPr defaultSize="0" print="0" autoFill="0" autoPict="0" macro="[0]!DEPRE">
                <anchor moveWithCells="1" sizeWithCells="1">
                  <from>
                    <xdr:col>4</xdr:col>
                    <xdr:colOff>742950</xdr:colOff>
                    <xdr:row>0</xdr:row>
                    <xdr:rowOff>123825</xdr:rowOff>
                  </from>
                  <to>
                    <xdr:col>5</xdr:col>
                    <xdr:colOff>657225</xdr:colOff>
                    <xdr:row>0</xdr:row>
                    <xdr:rowOff>476250</xdr:rowOff>
                  </to>
                </anchor>
              </controlPr>
            </control>
          </mc:Choice>
        </mc:AlternateContent>
        <mc:AlternateContent xmlns:mc="http://schemas.openxmlformats.org/markup-compatibility/2006">
          <mc:Choice Requires="x14">
            <control shapeId="7191" r:id="rId14" name="Button 23">
              <controlPr defaultSize="0" print="0" autoFill="0" autoPict="0" macro="[0]!GASTOS">
                <anchor moveWithCells="1" sizeWithCells="1">
                  <from>
                    <xdr:col>5</xdr:col>
                    <xdr:colOff>1000125</xdr:colOff>
                    <xdr:row>0</xdr:row>
                    <xdr:rowOff>142875</xdr:rowOff>
                  </from>
                  <to>
                    <xdr:col>6</xdr:col>
                    <xdr:colOff>1352550</xdr:colOff>
                    <xdr:row>0</xdr:row>
                    <xdr:rowOff>504825</xdr:rowOff>
                  </to>
                </anchor>
              </controlPr>
            </control>
          </mc:Choice>
        </mc:AlternateContent>
        <mc:AlternateContent xmlns:mc="http://schemas.openxmlformats.org/markup-compatibility/2006">
          <mc:Choice Requires="x14">
            <control shapeId="7193" r:id="rId15" name="Button 25">
              <controlPr defaultSize="0" print="0" autoFill="0" autoPict="0" macro="[0]!METODOS">
                <anchor moveWithCells="1" sizeWithCells="1">
                  <from>
                    <xdr:col>8</xdr:col>
                    <xdr:colOff>266700</xdr:colOff>
                    <xdr:row>0</xdr:row>
                    <xdr:rowOff>114300</xdr:rowOff>
                  </from>
                  <to>
                    <xdr:col>9</xdr:col>
                    <xdr:colOff>1152525</xdr:colOff>
                    <xdr:row>0</xdr:row>
                    <xdr:rowOff>476250</xdr:rowOff>
                  </to>
                </anchor>
              </controlPr>
            </control>
          </mc:Choice>
        </mc:AlternateContent>
        <mc:AlternateContent xmlns:mc="http://schemas.openxmlformats.org/markup-compatibility/2006">
          <mc:Choice Requires="x14">
            <control shapeId="7194" r:id="rId16" name="Button 26">
              <controlPr defaultSize="0" print="0" autoFill="0" autoPict="0" macro="[0]!PORTADA">
                <anchor moveWithCells="1" sizeWithCells="1">
                  <from>
                    <xdr:col>0</xdr:col>
                    <xdr:colOff>95250</xdr:colOff>
                    <xdr:row>0</xdr:row>
                    <xdr:rowOff>114300</xdr:rowOff>
                  </from>
                  <to>
                    <xdr:col>1</xdr:col>
                    <xdr:colOff>552450</xdr:colOff>
                    <xdr:row>0</xdr:row>
                    <xdr:rowOff>476250</xdr:rowOff>
                  </to>
                </anchor>
              </controlPr>
            </control>
          </mc:Choice>
        </mc:AlternateContent>
        <mc:AlternateContent xmlns:mc="http://schemas.openxmlformats.org/markup-compatibility/2006">
          <mc:Choice Requires="x14">
            <control shapeId="7195" r:id="rId17" name="Button 27">
              <controlPr defaultSize="0" print="0" autoFill="0" autoPict="0" macro="[0]!Informe">
                <anchor moveWithCells="1" sizeWithCells="1">
                  <from>
                    <xdr:col>10</xdr:col>
                    <xdr:colOff>142875</xdr:colOff>
                    <xdr:row>0</xdr:row>
                    <xdr:rowOff>114300</xdr:rowOff>
                  </from>
                  <to>
                    <xdr:col>10</xdr:col>
                    <xdr:colOff>1009650</xdr:colOff>
                    <xdr:row>0</xdr:row>
                    <xdr:rowOff>485775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8"/>
  <dimension ref="A1:AC90"/>
  <sheetViews>
    <sheetView zoomScale="75" zoomScaleNormal="75" workbookViewId="0">
      <selection activeCell="A6" sqref="A6"/>
    </sheetView>
  </sheetViews>
  <sheetFormatPr baseColWidth="10" defaultRowHeight="16.5" x14ac:dyDescent="0.3"/>
  <cols>
    <col min="1" max="1" width="11.42578125" style="10"/>
    <col min="2" max="2" width="20" style="10" customWidth="1"/>
    <col min="3" max="3" width="21.140625" style="10" bestFit="1" customWidth="1"/>
    <col min="4" max="4" width="18.85546875" style="10" customWidth="1"/>
    <col min="5" max="8" width="19.28515625" style="10" bestFit="1" customWidth="1"/>
    <col min="9" max="12" width="20.85546875" style="10" bestFit="1" customWidth="1"/>
    <col min="13" max="14" width="11.42578125" style="10"/>
    <col min="15" max="15" width="14.140625" style="10" customWidth="1"/>
    <col min="16" max="18" width="11.42578125" style="10"/>
    <col min="19" max="19" width="18.140625" style="10" customWidth="1"/>
    <col min="20" max="21" width="19.42578125" style="10" bestFit="1" customWidth="1"/>
    <col min="22" max="29" width="19.28515625" style="10" bestFit="1" customWidth="1"/>
    <col min="30" max="16384" width="11.42578125" style="10"/>
  </cols>
  <sheetData>
    <row r="1" spans="2:13" s="125" customFormat="1" ht="47.25" customHeight="1" thickBot="1" x14ac:dyDescent="0.35"/>
    <row r="2" spans="2:13" ht="17.25" thickTop="1" x14ac:dyDescent="0.3"/>
    <row r="3" spans="2:13" ht="46.5" thickBot="1" x14ac:dyDescent="0.65">
      <c r="B3" s="286" t="s">
        <v>98</v>
      </c>
      <c r="C3" s="286"/>
      <c r="D3" s="286"/>
      <c r="E3" s="286"/>
      <c r="F3" s="286"/>
      <c r="G3" s="286"/>
      <c r="H3" s="286"/>
      <c r="I3" s="286"/>
      <c r="J3" s="286"/>
      <c r="K3" s="286"/>
      <c r="L3" s="286"/>
      <c r="M3" s="286"/>
    </row>
    <row r="4" spans="2:13" ht="17.25" thickTop="1" x14ac:dyDescent="0.3"/>
    <row r="8" spans="2:13" x14ac:dyDescent="0.3">
      <c r="C8" s="210"/>
      <c r="D8" s="210"/>
      <c r="E8" s="210"/>
      <c r="F8" s="210"/>
      <c r="G8" s="210"/>
      <c r="H8" s="210"/>
      <c r="I8" s="210"/>
      <c r="J8" s="210"/>
      <c r="K8" s="210"/>
      <c r="L8" s="210"/>
    </row>
    <row r="9" spans="2:13" x14ac:dyDescent="0.3">
      <c r="C9" s="210"/>
      <c r="D9" s="210"/>
      <c r="E9" s="210"/>
      <c r="F9" s="210"/>
      <c r="G9" s="210"/>
      <c r="H9" s="210"/>
      <c r="I9" s="210"/>
      <c r="J9" s="210"/>
      <c r="K9" s="210"/>
      <c r="L9" s="210"/>
    </row>
    <row r="10" spans="2:13" x14ac:dyDescent="0.3">
      <c r="C10" s="210"/>
      <c r="D10" s="210"/>
      <c r="E10" s="210"/>
      <c r="F10" s="210"/>
      <c r="G10" s="210"/>
      <c r="H10" s="210"/>
      <c r="I10" s="210"/>
      <c r="J10" s="210"/>
      <c r="K10" s="210"/>
      <c r="L10" s="210"/>
    </row>
    <row r="11" spans="2:13" x14ac:dyDescent="0.3">
      <c r="C11" s="210"/>
      <c r="D11" s="210"/>
      <c r="E11" s="210"/>
      <c r="F11" s="210"/>
      <c r="G11" s="210"/>
      <c r="H11" s="210"/>
      <c r="I11" s="210"/>
      <c r="J11" s="210"/>
      <c r="K11" s="210"/>
      <c r="L11" s="210"/>
    </row>
    <row r="12" spans="2:13" x14ac:dyDescent="0.3">
      <c r="C12" s="210"/>
      <c r="D12" s="210"/>
      <c r="E12" s="210"/>
      <c r="F12" s="210"/>
      <c r="G12" s="210"/>
      <c r="H12" s="210"/>
      <c r="I12" s="210"/>
      <c r="J12" s="210"/>
      <c r="K12" s="210"/>
      <c r="L12" s="210"/>
    </row>
    <row r="13" spans="2:13" x14ac:dyDescent="0.3">
      <c r="C13" s="210"/>
      <c r="D13" s="210"/>
      <c r="E13" s="210"/>
      <c r="F13" s="210"/>
      <c r="G13" s="210"/>
      <c r="H13" s="210"/>
      <c r="I13" s="210"/>
      <c r="J13" s="210"/>
      <c r="K13" s="210"/>
      <c r="L13" s="210"/>
    </row>
    <row r="14" spans="2:13" x14ac:dyDescent="0.3">
      <c r="C14" s="210"/>
      <c r="D14" s="210"/>
      <c r="E14" s="210"/>
      <c r="F14" s="210"/>
      <c r="G14" s="210"/>
      <c r="H14" s="210"/>
      <c r="I14" s="210"/>
      <c r="J14" s="210"/>
      <c r="K14" s="210"/>
      <c r="L14" s="210"/>
    </row>
    <row r="15" spans="2:13" x14ac:dyDescent="0.3">
      <c r="C15" s="210"/>
      <c r="D15" s="210"/>
      <c r="E15" s="210"/>
      <c r="F15" s="210"/>
      <c r="G15" s="210"/>
      <c r="H15" s="210"/>
      <c r="I15" s="210"/>
      <c r="J15" s="210"/>
      <c r="K15" s="210"/>
      <c r="L15" s="210"/>
    </row>
    <row r="16" spans="2:13" x14ac:dyDescent="0.3">
      <c r="C16" s="210"/>
      <c r="D16" s="210"/>
      <c r="E16" s="210"/>
      <c r="F16" s="210"/>
      <c r="G16" s="210"/>
      <c r="H16" s="210"/>
      <c r="I16" s="210"/>
      <c r="J16" s="210"/>
      <c r="K16" s="210"/>
      <c r="L16" s="210"/>
    </row>
    <row r="17" spans="2:29" x14ac:dyDescent="0.3">
      <c r="C17" s="210"/>
      <c r="D17" s="210"/>
      <c r="E17" s="210"/>
      <c r="F17" s="210"/>
      <c r="G17" s="210"/>
      <c r="H17" s="210"/>
      <c r="I17" s="210"/>
      <c r="J17" s="210"/>
      <c r="K17" s="210"/>
      <c r="L17" s="210"/>
    </row>
    <row r="18" spans="2:29" x14ac:dyDescent="0.3">
      <c r="C18" s="210"/>
      <c r="D18" s="210"/>
      <c r="E18" s="210"/>
      <c r="F18" s="210"/>
      <c r="G18" s="210"/>
      <c r="H18" s="210"/>
      <c r="I18" s="210"/>
      <c r="J18" s="210"/>
      <c r="K18" s="210"/>
      <c r="L18" s="210"/>
    </row>
    <row r="19" spans="2:29" x14ac:dyDescent="0.3">
      <c r="C19" s="210"/>
      <c r="D19" s="210"/>
      <c r="E19" s="210"/>
      <c r="F19" s="210"/>
      <c r="G19" s="210"/>
      <c r="H19" s="210"/>
      <c r="I19" s="210"/>
      <c r="J19" s="210"/>
      <c r="K19" s="210"/>
      <c r="L19" s="210"/>
    </row>
    <row r="20" spans="2:29" x14ac:dyDescent="0.3">
      <c r="C20" s="210"/>
      <c r="D20" s="210"/>
      <c r="E20" s="210"/>
      <c r="F20" s="210"/>
      <c r="G20" s="210"/>
      <c r="H20" s="210"/>
      <c r="I20" s="210"/>
      <c r="J20" s="210"/>
      <c r="K20" s="210"/>
      <c r="L20" s="210"/>
    </row>
    <row r="23" spans="2:29" s="58" customFormat="1" x14ac:dyDescent="0.3"/>
    <row r="24" spans="2:29" s="58" customFormat="1" x14ac:dyDescent="0.3"/>
    <row r="25" spans="2:29" s="58" customFormat="1" x14ac:dyDescent="0.3"/>
    <row r="26" spans="2:29" s="58" customFormat="1" x14ac:dyDescent="0.3"/>
    <row r="27" spans="2:29" x14ac:dyDescent="0.3">
      <c r="N27" s="201" t="s">
        <v>27</v>
      </c>
      <c r="O27" s="10">
        <v>1800000</v>
      </c>
    </row>
    <row r="28" spans="2:29" ht="28.5" x14ac:dyDescent="0.4">
      <c r="B28" s="287" t="s">
        <v>79</v>
      </c>
      <c r="C28" s="287"/>
      <c r="D28" s="287"/>
      <c r="E28" s="287"/>
      <c r="F28" s="287"/>
      <c r="G28" s="287"/>
      <c r="H28" s="287"/>
      <c r="I28" s="287"/>
      <c r="J28" s="287"/>
      <c r="K28" s="287"/>
      <c r="L28" s="287"/>
      <c r="N28" s="201" t="s">
        <v>28</v>
      </c>
      <c r="O28" s="65">
        <f>Datos!D17</f>
        <v>0.45</v>
      </c>
      <c r="S28" s="287" t="s">
        <v>78</v>
      </c>
      <c r="T28" s="287"/>
      <c r="U28" s="287"/>
      <c r="V28" s="287"/>
      <c r="W28" s="287"/>
      <c r="X28" s="287"/>
      <c r="Y28" s="287"/>
      <c r="Z28" s="287"/>
      <c r="AA28" s="287"/>
      <c r="AB28" s="287"/>
      <c r="AC28" s="287"/>
    </row>
    <row r="29" spans="2:29" ht="17.25" thickBot="1" x14ac:dyDescent="0.35">
      <c r="S29" s="202"/>
      <c r="T29" s="202"/>
      <c r="U29" s="202"/>
      <c r="V29" s="202"/>
      <c r="W29" s="202"/>
      <c r="X29" s="202"/>
      <c r="Y29" s="202"/>
      <c r="Z29" s="202"/>
      <c r="AA29" s="202"/>
      <c r="AB29" s="202"/>
      <c r="AC29" s="202"/>
    </row>
    <row r="30" spans="2:29" ht="20.25" customHeight="1" thickTop="1" thickBot="1" x14ac:dyDescent="0.35">
      <c r="B30" s="211" t="s">
        <v>51</v>
      </c>
      <c r="C30" s="213">
        <v>1</v>
      </c>
      <c r="D30" s="214">
        <v>2</v>
      </c>
      <c r="E30" s="214">
        <v>3</v>
      </c>
      <c r="F30" s="214">
        <v>4</v>
      </c>
      <c r="G30" s="214">
        <v>5</v>
      </c>
      <c r="H30" s="214">
        <v>6</v>
      </c>
      <c r="I30" s="214">
        <v>7</v>
      </c>
      <c r="J30" s="214">
        <v>8</v>
      </c>
      <c r="K30" s="214">
        <v>9</v>
      </c>
      <c r="L30" s="215">
        <v>10</v>
      </c>
      <c r="S30" s="211" t="s">
        <v>51</v>
      </c>
      <c r="T30" s="59">
        <v>1</v>
      </c>
      <c r="U30" s="60">
        <v>2</v>
      </c>
      <c r="V30" s="60">
        <v>3</v>
      </c>
      <c r="W30" s="60">
        <v>4</v>
      </c>
      <c r="X30" s="60">
        <v>5</v>
      </c>
      <c r="Y30" s="60">
        <v>6</v>
      </c>
      <c r="Z30" s="60">
        <v>7</v>
      </c>
      <c r="AA30" s="60">
        <v>8</v>
      </c>
      <c r="AB30" s="60">
        <v>9</v>
      </c>
      <c r="AC30" s="61">
        <v>10</v>
      </c>
    </row>
    <row r="31" spans="2:29" ht="25.5" thickTop="1" thickBot="1" x14ac:dyDescent="0.35">
      <c r="B31" s="212" t="s">
        <v>23</v>
      </c>
      <c r="C31" s="62">
        <f>Flujos!$C$51</f>
        <v>1136850.5747126434</v>
      </c>
      <c r="D31" s="63">
        <f>Flujos!$D$51</f>
        <v>1330416.0919540245</v>
      </c>
      <c r="E31" s="63">
        <f>Flujos!$E$51</f>
        <v>1537773.174712643</v>
      </c>
      <c r="F31" s="63">
        <f>Flujos!$F$51</f>
        <v>1758655.4788540266</v>
      </c>
      <c r="G31" s="63">
        <f>Flujos!$G$51</f>
        <v>1992500.4870434925</v>
      </c>
      <c r="H31" s="63">
        <f>Flujos!$H$51</f>
        <v>1201716.7864932492</v>
      </c>
      <c r="I31" s="63">
        <f>Flujos!$I$51</f>
        <v>2026426.4978019819</v>
      </c>
      <c r="J31" s="63">
        <f>Flujos!$J$51</f>
        <v>1943293.3859440945</v>
      </c>
      <c r="K31" s="63">
        <f>Flujos!$K$51</f>
        <v>1848921.8877644427</v>
      </c>
      <c r="L31" s="64">
        <f>Flujos!$L$51</f>
        <v>1739091.9504736364</v>
      </c>
      <c r="S31" s="212" t="s">
        <v>23</v>
      </c>
      <c r="T31" s="62">
        <f>Flujos!$C$51</f>
        <v>1136850.5747126434</v>
      </c>
      <c r="U31" s="63">
        <f>Flujos!$D$51</f>
        <v>1330416.0919540245</v>
      </c>
      <c r="V31" s="63">
        <f>Flujos!$E$51</f>
        <v>1537773.174712643</v>
      </c>
      <c r="W31" s="63">
        <f>Flujos!$F$51</f>
        <v>1758655.4788540266</v>
      </c>
      <c r="X31" s="63">
        <f>Flujos!$G$51</f>
        <v>1992500.4870434925</v>
      </c>
      <c r="Y31" s="63">
        <f>Flujos!$H$51</f>
        <v>1201716.7864932492</v>
      </c>
      <c r="Z31" s="63">
        <f>Flujos!$I$51</f>
        <v>2026426.4978019819</v>
      </c>
      <c r="AA31" s="63">
        <f>Flujos!$J$51</f>
        <v>1943293.3859440945</v>
      </c>
      <c r="AB31" s="63">
        <f>Flujos!$K$51</f>
        <v>1848921.8877644427</v>
      </c>
      <c r="AC31" s="64">
        <f>Flujos!$L$51</f>
        <v>1739091.9504736364</v>
      </c>
    </row>
    <row r="32" spans="2:29" ht="37.5" customHeight="1" thickTop="1" thickBot="1" x14ac:dyDescent="0.35">
      <c r="B32" s="212" t="s">
        <v>99</v>
      </c>
      <c r="C32" s="66">
        <f>C31</f>
        <v>1136850.5747126434</v>
      </c>
      <c r="D32" s="67">
        <f>D31+C32</f>
        <v>2467266.6666666679</v>
      </c>
      <c r="E32" s="67">
        <f>E31+D32</f>
        <v>4005039.8413793109</v>
      </c>
      <c r="F32" s="67">
        <f>F31+E32</f>
        <v>5763695.3202333376</v>
      </c>
      <c r="G32" s="67">
        <f t="shared" ref="G32:L32" si="0">G31+F32</f>
        <v>7756195.8072768301</v>
      </c>
      <c r="H32" s="67">
        <f t="shared" si="0"/>
        <v>8957912.5937700793</v>
      </c>
      <c r="I32" s="67">
        <f t="shared" si="0"/>
        <v>10984339.091572061</v>
      </c>
      <c r="J32" s="67">
        <f t="shared" si="0"/>
        <v>12927632.477516156</v>
      </c>
      <c r="K32" s="67">
        <f t="shared" si="0"/>
        <v>14776554.365280598</v>
      </c>
      <c r="L32" s="68">
        <f t="shared" si="0"/>
        <v>16515646.315754235</v>
      </c>
      <c r="P32" s="10" t="s">
        <v>26</v>
      </c>
      <c r="S32" s="216" t="s">
        <v>80</v>
      </c>
      <c r="T32" s="205">
        <f>T31/(1+$O$28)^T30</f>
        <v>784034.87911216787</v>
      </c>
      <c r="U32" s="205">
        <f t="shared" ref="U32:AC32" si="1">U31/(1+$O$28)^U30</f>
        <v>632778.16501975001</v>
      </c>
      <c r="V32" s="205">
        <f t="shared" si="1"/>
        <v>504415.32648739778</v>
      </c>
      <c r="W32" s="205">
        <f t="shared" si="1"/>
        <v>397840.28782993503</v>
      </c>
      <c r="X32" s="205">
        <f t="shared" si="1"/>
        <v>310855.40642014629</v>
      </c>
      <c r="Y32" s="205">
        <f t="shared" si="1"/>
        <v>129298.68688784642</v>
      </c>
      <c r="Z32" s="205">
        <f t="shared" si="1"/>
        <v>150367.79804810698</v>
      </c>
      <c r="AA32" s="205">
        <f t="shared" si="1"/>
        <v>99447.610999755983</v>
      </c>
      <c r="AB32" s="205">
        <f t="shared" si="1"/>
        <v>65253.910597579757</v>
      </c>
      <c r="AC32" s="206">
        <f t="shared" si="1"/>
        <v>42329.439960312491</v>
      </c>
    </row>
    <row r="33" spans="1:29" ht="66" customHeight="1" thickTop="1" thickBot="1" x14ac:dyDescent="0.35">
      <c r="C33" s="69"/>
      <c r="D33" s="69"/>
      <c r="I33" s="69"/>
      <c r="S33" s="216" t="s">
        <v>81</v>
      </c>
      <c r="T33" s="66">
        <f>T32</f>
        <v>784034.87911216787</v>
      </c>
      <c r="U33" s="67">
        <f>T33+U32</f>
        <v>1416813.0441319179</v>
      </c>
      <c r="V33" s="67">
        <f t="shared" ref="V33:AC33" si="2">U33+V32</f>
        <v>1921228.3706193157</v>
      </c>
      <c r="W33" s="67">
        <f t="shared" si="2"/>
        <v>2319068.6584492507</v>
      </c>
      <c r="X33" s="67">
        <f t="shared" si="2"/>
        <v>2629924.0648693969</v>
      </c>
      <c r="Y33" s="67">
        <f t="shared" si="2"/>
        <v>2759222.7517572432</v>
      </c>
      <c r="Z33" s="67">
        <f t="shared" si="2"/>
        <v>2909590.5498053501</v>
      </c>
      <c r="AA33" s="67">
        <f t="shared" si="2"/>
        <v>3009038.1608051062</v>
      </c>
      <c r="AB33" s="67">
        <f t="shared" si="2"/>
        <v>3074292.0714026857</v>
      </c>
      <c r="AC33" s="68">
        <f t="shared" si="2"/>
        <v>3116621.5113629983</v>
      </c>
    </row>
    <row r="34" spans="1:29" ht="19.5" thickTop="1" thickBot="1" x14ac:dyDescent="0.35">
      <c r="B34" s="217" t="s">
        <v>24</v>
      </c>
      <c r="C34" s="175">
        <f>IF(C32&gt;O27,O27/C31,IF(D32&gt;O27,C30+((O27-C32)/D31),IF(E32&gt;O27,D30+((O27-D32)/E31),IF(F32&gt;O27,E30+((O27-E32)/F31),IF(G32&gt;O27,F30+((O27-F32)/G31),IF(H32&gt;O27,G30+((O27-G32)/H31),IF(I32&gt;O27,H30+((O27-H32)/I31),IF(J32&gt;O27,I30+((O27-I32)/J31),IF(K32&gt;O27,J30+((O27-J32)/K31),IF(L32&gt;O27,K30+((O27-K32)/L31)))))))))))</f>
        <v>1.4984526489854524</v>
      </c>
      <c r="S34" s="202"/>
      <c r="T34" s="202"/>
      <c r="U34" s="202"/>
      <c r="V34" s="202"/>
      <c r="W34" s="202"/>
      <c r="X34" s="202"/>
      <c r="Y34" s="202"/>
      <c r="Z34" s="202"/>
      <c r="AA34" s="202"/>
      <c r="AB34" s="202"/>
      <c r="AC34" s="202"/>
    </row>
    <row r="35" spans="1:29" ht="19.5" thickTop="1" thickBot="1" x14ac:dyDescent="0.35">
      <c r="C35" s="69"/>
      <c r="S35" s="217" t="s">
        <v>24</v>
      </c>
      <c r="T35" s="175">
        <f>IF(T33&gt;O27,O27/T32,IF(U33&gt;O27,T30+((O27-T33)/U32),IF(V33&gt;O27,U30+((O27-U33)/V32),IF(W33&gt;O27,V30+((O27-V33)/W32),IF(X33&gt;O27,W30+F2*((O27-W33)/X32),IF(Y33&gt;O27,X30+((O27-X33)/Y32),IF(Z33&gt;O27,Y30+((O27-Y33)/Z32),IF(AA33&gt;O27,Z30+((O27-Z33)/AA32),IF(AB33&gt;O27,AA30+((O27-AA33)/AB32),IF(AC33&gt;O27,AB30+((O27-AB33)/AC32)))))))))))</f>
        <v>2.7596655687218807</v>
      </c>
      <c r="U35" s="202"/>
      <c r="V35" s="202"/>
      <c r="W35" s="202"/>
      <c r="X35" s="202"/>
      <c r="Y35" s="202"/>
      <c r="Z35" s="202"/>
      <c r="AA35" s="202"/>
      <c r="AB35" s="202"/>
      <c r="AC35" s="202"/>
    </row>
    <row r="36" spans="1:29" ht="19.5" thickTop="1" thickBot="1" x14ac:dyDescent="0.35">
      <c r="C36" s="176">
        <f>INT(C34)</f>
        <v>1</v>
      </c>
      <c r="D36" s="177" t="str">
        <f>IF(C36=1,"AÑO","AÑOS")</f>
        <v>AÑO</v>
      </c>
      <c r="E36" s="177">
        <f>INT((C34-C36)*12)</f>
        <v>5</v>
      </c>
      <c r="F36" s="177" t="str">
        <f>IF(E36=1,"MES","MESES")</f>
        <v>MESES</v>
      </c>
      <c r="G36" s="177">
        <f>INT((((C34-C36)*12)-E36)*30)</f>
        <v>29</v>
      </c>
      <c r="H36" s="178" t="str">
        <f>IF(G36=1,"DÍA","DÍAS")</f>
        <v>DÍAS</v>
      </c>
      <c r="S36" s="202"/>
      <c r="T36" s="202"/>
      <c r="U36" s="202"/>
      <c r="V36" s="202"/>
      <c r="W36" s="202"/>
      <c r="X36" s="202"/>
      <c r="Y36" s="202"/>
      <c r="Z36" s="202"/>
      <c r="AA36" s="202"/>
      <c r="AB36" s="202"/>
      <c r="AC36" s="202"/>
    </row>
    <row r="37" spans="1:29" ht="19.5" thickTop="1" thickBot="1" x14ac:dyDescent="0.35">
      <c r="S37" s="202"/>
      <c r="T37" s="176">
        <f>INT(T35)</f>
        <v>2</v>
      </c>
      <c r="U37" s="177" t="str">
        <f>IF(T37=1,"AÑO","AÑOS")</f>
        <v>AÑOS</v>
      </c>
      <c r="V37" s="177">
        <f>INT((T35-T37)*12)</f>
        <v>9</v>
      </c>
      <c r="W37" s="177" t="str">
        <f>IF(V37=1,"MES","MESES")</f>
        <v>MESES</v>
      </c>
      <c r="X37" s="177">
        <f>INT((((T35-T37)*12)-V37)*30)</f>
        <v>3</v>
      </c>
      <c r="Y37" s="178" t="str">
        <f>IF(X37=1,"DÍA","DÍAS")</f>
        <v>DÍAS</v>
      </c>
      <c r="Z37" s="202"/>
      <c r="AA37" s="202"/>
      <c r="AB37" s="202"/>
      <c r="AC37" s="202"/>
    </row>
    <row r="38" spans="1:29" ht="17.25" thickTop="1" x14ac:dyDescent="0.3"/>
    <row r="40" spans="1:29" x14ac:dyDescent="0.3">
      <c r="A40" s="202"/>
      <c r="M40" s="202"/>
      <c r="N40" s="202"/>
      <c r="O40" s="202"/>
      <c r="P40" s="202"/>
      <c r="Q40" s="202"/>
    </row>
    <row r="41" spans="1:29" x14ac:dyDescent="0.3">
      <c r="A41" s="202"/>
      <c r="M41" s="202"/>
      <c r="N41" s="202"/>
      <c r="O41" s="202"/>
      <c r="P41" s="202"/>
      <c r="Q41" s="202"/>
    </row>
    <row r="42" spans="1:29" x14ac:dyDescent="0.3">
      <c r="A42" s="202"/>
      <c r="M42" s="202"/>
      <c r="N42" s="202"/>
      <c r="O42" s="202"/>
      <c r="P42" s="202"/>
      <c r="Q42" s="202"/>
    </row>
    <row r="43" spans="1:29" ht="65.25" customHeight="1" x14ac:dyDescent="0.3">
      <c r="A43" s="202"/>
      <c r="M43" s="202"/>
      <c r="N43" s="202"/>
      <c r="O43" s="202"/>
      <c r="P43" s="202"/>
      <c r="Q43" s="202"/>
    </row>
    <row r="44" spans="1:29" ht="78" customHeight="1" x14ac:dyDescent="0.3">
      <c r="A44" s="202"/>
      <c r="M44" s="202"/>
      <c r="N44" s="202"/>
      <c r="O44" s="202"/>
      <c r="P44" s="202"/>
      <c r="Q44" s="202"/>
    </row>
    <row r="45" spans="1:29" x14ac:dyDescent="0.3">
      <c r="A45" s="202"/>
      <c r="M45" s="202"/>
      <c r="N45" s="202"/>
      <c r="O45" s="202"/>
      <c r="P45" s="202"/>
      <c r="Q45" s="202"/>
    </row>
    <row r="46" spans="1:29" x14ac:dyDescent="0.3">
      <c r="A46" s="202"/>
      <c r="M46" s="202"/>
      <c r="N46" s="202"/>
      <c r="O46" s="202"/>
      <c r="P46" s="202"/>
      <c r="Q46" s="202"/>
    </row>
    <row r="47" spans="1:29" x14ac:dyDescent="0.3">
      <c r="A47" s="202"/>
      <c r="M47" s="202"/>
      <c r="N47" s="202"/>
      <c r="O47" s="202"/>
      <c r="P47" s="202"/>
      <c r="Q47" s="202"/>
    </row>
    <row r="48" spans="1:29" x14ac:dyDescent="0.3">
      <c r="A48" s="202"/>
      <c r="M48" s="202"/>
      <c r="N48" s="202"/>
      <c r="O48" s="202"/>
      <c r="P48" s="202"/>
      <c r="Q48" s="202"/>
    </row>
    <row r="49" spans="1:29" x14ac:dyDescent="0.3">
      <c r="A49" s="202"/>
      <c r="B49" s="202"/>
      <c r="C49" s="202"/>
      <c r="D49" s="202"/>
      <c r="E49" s="202"/>
      <c r="F49" s="202"/>
      <c r="G49" s="202"/>
      <c r="H49" s="202"/>
      <c r="I49" s="202"/>
      <c r="J49" s="202"/>
      <c r="K49" s="202"/>
      <c r="L49" s="202"/>
      <c r="M49" s="202"/>
      <c r="N49" s="202"/>
      <c r="O49" s="202"/>
      <c r="P49" s="202"/>
      <c r="Q49" s="202"/>
    </row>
    <row r="50" spans="1:29" x14ac:dyDescent="0.3">
      <c r="A50" s="202"/>
      <c r="B50" s="202"/>
      <c r="C50" s="202"/>
      <c r="D50" s="202"/>
      <c r="E50" s="202"/>
      <c r="F50" s="202"/>
      <c r="G50" s="202"/>
      <c r="H50" s="202"/>
      <c r="I50" s="202"/>
      <c r="J50" s="202"/>
      <c r="K50" s="202"/>
      <c r="L50" s="202"/>
      <c r="M50" s="202"/>
      <c r="N50" s="202"/>
      <c r="O50" s="202"/>
      <c r="P50" s="202"/>
      <c r="Q50" s="202"/>
    </row>
    <row r="51" spans="1:29" ht="28.5" x14ac:dyDescent="0.4">
      <c r="A51" s="202"/>
      <c r="B51" s="288" t="s">
        <v>95</v>
      </c>
      <c r="C51" s="288"/>
      <c r="D51" s="288"/>
      <c r="E51" s="288"/>
      <c r="F51" s="288"/>
      <c r="G51" s="288"/>
      <c r="H51" s="288"/>
      <c r="I51" s="288"/>
      <c r="J51" s="288"/>
      <c r="K51" s="288"/>
      <c r="L51" s="288"/>
      <c r="M51" s="202"/>
      <c r="N51" s="202"/>
      <c r="O51" s="202"/>
      <c r="P51" s="202"/>
      <c r="Q51" s="202"/>
      <c r="S51" s="288" t="s">
        <v>89</v>
      </c>
      <c r="T51" s="288"/>
      <c r="U51" s="288"/>
      <c r="V51" s="288"/>
      <c r="W51" s="288"/>
      <c r="X51" s="288"/>
      <c r="Y51" s="288"/>
      <c r="Z51" s="288"/>
      <c r="AA51" s="288"/>
      <c r="AB51" s="288"/>
      <c r="AC51" s="288"/>
    </row>
    <row r="52" spans="1:29" ht="17.25" thickBot="1" x14ac:dyDescent="0.35">
      <c r="A52" s="202"/>
      <c r="B52" s="202"/>
      <c r="C52" s="202"/>
      <c r="D52" s="202"/>
      <c r="E52" s="202"/>
      <c r="F52" s="202"/>
      <c r="G52" s="202"/>
      <c r="H52" s="202"/>
      <c r="I52" s="202"/>
      <c r="J52" s="202"/>
      <c r="K52" s="202"/>
      <c r="L52" s="202"/>
      <c r="M52" s="202"/>
      <c r="N52" s="202"/>
      <c r="O52" s="202"/>
      <c r="P52" s="202"/>
      <c r="Q52" s="202"/>
    </row>
    <row r="53" spans="1:29" ht="25.5" thickTop="1" thickBot="1" x14ac:dyDescent="0.35">
      <c r="E53" s="174" t="s">
        <v>29</v>
      </c>
      <c r="F53" s="179">
        <f>(Flujos!L55/10)/Flujos!C11</f>
        <v>0.91753590643079086</v>
      </c>
      <c r="G53" s="174" t="str">
        <f>IF(F53&gt;O28,"ACEPTADO",IF(F53&lt;O28,"RECHAZADO","INDIFERENTE"))</f>
        <v>ACEPTADO</v>
      </c>
      <c r="S53" s="203" t="s">
        <v>51</v>
      </c>
      <c r="T53" s="59">
        <v>1</v>
      </c>
      <c r="U53" s="60">
        <v>2</v>
      </c>
      <c r="V53" s="60">
        <v>3</v>
      </c>
      <c r="W53" s="60">
        <v>4</v>
      </c>
      <c r="X53" s="60">
        <v>5</v>
      </c>
      <c r="Y53" s="60">
        <v>6</v>
      </c>
      <c r="Z53" s="60">
        <v>7</v>
      </c>
      <c r="AA53" s="60">
        <v>8</v>
      </c>
      <c r="AB53" s="60">
        <v>9</v>
      </c>
      <c r="AC53" s="61">
        <v>10</v>
      </c>
    </row>
    <row r="54" spans="1:29" ht="25.5" thickTop="1" thickBot="1" x14ac:dyDescent="0.35">
      <c r="S54" s="128" t="s">
        <v>23</v>
      </c>
      <c r="T54" s="62">
        <f>Flujos!$C$51</f>
        <v>1136850.5747126434</v>
      </c>
      <c r="U54" s="63">
        <f>Flujos!$D$51</f>
        <v>1330416.0919540245</v>
      </c>
      <c r="V54" s="63">
        <f>Flujos!$E$51</f>
        <v>1537773.174712643</v>
      </c>
      <c r="W54" s="63">
        <f>Flujos!$F$51</f>
        <v>1758655.4788540266</v>
      </c>
      <c r="X54" s="63">
        <f>Flujos!$G$51</f>
        <v>1992500.4870434925</v>
      </c>
      <c r="Y54" s="63">
        <f>Flujos!$H$51</f>
        <v>1201716.7864932492</v>
      </c>
      <c r="Z54" s="63">
        <f>Flujos!$I$51</f>
        <v>2026426.4978019819</v>
      </c>
      <c r="AA54" s="63">
        <f>Flujos!$J$51</f>
        <v>1943293.3859440945</v>
      </c>
      <c r="AB54" s="63">
        <f>Flujos!$K$51</f>
        <v>1848921.8877644427</v>
      </c>
      <c r="AC54" s="64">
        <f>Flujos!$L$51</f>
        <v>1739091.9504736364</v>
      </c>
    </row>
    <row r="55" spans="1:29" ht="40.5" thickTop="1" thickBot="1" x14ac:dyDescent="0.35">
      <c r="H55" s="285" t="s">
        <v>82</v>
      </c>
      <c r="I55" s="285"/>
      <c r="S55" s="204" t="s">
        <v>90</v>
      </c>
      <c r="T55" s="66">
        <f>T54/(1+$O$28)^T53</f>
        <v>784034.87911216787</v>
      </c>
      <c r="U55" s="67">
        <f t="shared" ref="U55:AC55" si="3">U54/(1+$O$28)^U53</f>
        <v>632778.16501975001</v>
      </c>
      <c r="V55" s="67">
        <f t="shared" si="3"/>
        <v>504415.32648739778</v>
      </c>
      <c r="W55" s="67">
        <f t="shared" si="3"/>
        <v>397840.28782993503</v>
      </c>
      <c r="X55" s="67">
        <f t="shared" si="3"/>
        <v>310855.40642014629</v>
      </c>
      <c r="Y55" s="67">
        <f t="shared" si="3"/>
        <v>129298.68688784642</v>
      </c>
      <c r="Z55" s="67">
        <f t="shared" si="3"/>
        <v>150367.79804810698</v>
      </c>
      <c r="AA55" s="67">
        <f t="shared" si="3"/>
        <v>99447.610999755983</v>
      </c>
      <c r="AB55" s="67">
        <f t="shared" si="3"/>
        <v>65253.910597579757</v>
      </c>
      <c r="AC55" s="68">
        <f t="shared" si="3"/>
        <v>42329.439960312491</v>
      </c>
    </row>
    <row r="56" spans="1:29" ht="20.25" thickTop="1" thickBot="1" x14ac:dyDescent="0.35">
      <c r="H56" s="127" t="s">
        <v>83</v>
      </c>
      <c r="I56" s="127" t="s">
        <v>84</v>
      </c>
    </row>
    <row r="57" spans="1:29" ht="37.5" thickTop="1" thickBot="1" x14ac:dyDescent="0.35">
      <c r="H57" s="127" t="s">
        <v>85</v>
      </c>
      <c r="I57" s="127" t="s">
        <v>86</v>
      </c>
      <c r="S57" s="180" t="s">
        <v>91</v>
      </c>
      <c r="T57" s="175">
        <f>SUM(T55:AC55)</f>
        <v>3116621.5113629983</v>
      </c>
      <c r="W57" s="285" t="s">
        <v>82</v>
      </c>
      <c r="X57" s="285"/>
    </row>
    <row r="58" spans="1:29" ht="20.25" thickTop="1" thickBot="1" x14ac:dyDescent="0.35">
      <c r="H58" s="127" t="s">
        <v>87</v>
      </c>
      <c r="I58" s="127" t="s">
        <v>88</v>
      </c>
      <c r="W58" s="172" t="s">
        <v>109</v>
      </c>
      <c r="X58" s="172" t="s">
        <v>84</v>
      </c>
    </row>
    <row r="59" spans="1:29" ht="41.25" customHeight="1" thickTop="1" x14ac:dyDescent="0.3">
      <c r="S59" s="181" t="s">
        <v>92</v>
      </c>
      <c r="T59" s="182">
        <f>T57/Flujos!C11</f>
        <v>1.7314563952016657</v>
      </c>
      <c r="U59" s="283" t="str">
        <f>IF(T59&gt;1,"ACEPTADO",IF(T59&lt;1,"RECHAZADO","INDIFERENTE"))</f>
        <v>ACEPTADO</v>
      </c>
      <c r="W59" s="172" t="s">
        <v>110</v>
      </c>
      <c r="X59" s="172" t="s">
        <v>86</v>
      </c>
    </row>
    <row r="60" spans="1:29" ht="18.75" thickBot="1" x14ac:dyDescent="0.35">
      <c r="S60" s="207"/>
      <c r="T60" s="208"/>
      <c r="U60" s="284"/>
      <c r="W60" s="172" t="s">
        <v>111</v>
      </c>
      <c r="X60" s="172" t="s">
        <v>88</v>
      </c>
    </row>
    <row r="61" spans="1:29" ht="17.25" thickTop="1" x14ac:dyDescent="0.3"/>
    <row r="77" spans="2:29" ht="28.5" x14ac:dyDescent="0.4">
      <c r="B77" s="288" t="s">
        <v>93</v>
      </c>
      <c r="C77" s="288"/>
      <c r="D77" s="288"/>
      <c r="E77" s="288"/>
      <c r="F77" s="288"/>
      <c r="G77" s="288"/>
      <c r="H77" s="288"/>
      <c r="I77" s="288"/>
      <c r="J77" s="288"/>
      <c r="K77" s="288"/>
      <c r="L77" s="288"/>
      <c r="S77" s="288" t="s">
        <v>94</v>
      </c>
      <c r="T77" s="288"/>
      <c r="U77" s="288"/>
      <c r="V77" s="288"/>
      <c r="W77" s="288"/>
      <c r="X77" s="288"/>
      <c r="Y77" s="288"/>
      <c r="Z77" s="288"/>
      <c r="AA77" s="288"/>
      <c r="AB77" s="288"/>
      <c r="AC77" s="288"/>
    </row>
    <row r="78" spans="2:29" ht="17.25" thickBot="1" x14ac:dyDescent="0.35"/>
    <row r="79" spans="2:29" ht="25.5" thickTop="1" thickBot="1" x14ac:dyDescent="0.35">
      <c r="B79" s="203" t="s">
        <v>51</v>
      </c>
      <c r="C79" s="59">
        <v>1</v>
      </c>
      <c r="D79" s="60">
        <v>2</v>
      </c>
      <c r="E79" s="60">
        <v>3</v>
      </c>
      <c r="F79" s="60">
        <v>4</v>
      </c>
      <c r="G79" s="60">
        <v>5</v>
      </c>
      <c r="H79" s="60">
        <v>6</v>
      </c>
      <c r="I79" s="60">
        <v>7</v>
      </c>
      <c r="J79" s="60">
        <v>8</v>
      </c>
      <c r="K79" s="60">
        <v>9</v>
      </c>
      <c r="L79" s="61">
        <v>10</v>
      </c>
      <c r="S79" s="203" t="s">
        <v>17</v>
      </c>
      <c r="T79" s="59">
        <v>1</v>
      </c>
      <c r="U79" s="60">
        <v>2</v>
      </c>
      <c r="V79" s="60">
        <v>3</v>
      </c>
      <c r="W79" s="60">
        <v>4</v>
      </c>
      <c r="X79" s="60">
        <v>5</v>
      </c>
      <c r="Y79" s="60">
        <v>6</v>
      </c>
      <c r="Z79" s="60">
        <v>7</v>
      </c>
      <c r="AA79" s="60">
        <v>8</v>
      </c>
      <c r="AB79" s="60">
        <v>9</v>
      </c>
      <c r="AC79" s="61">
        <v>10</v>
      </c>
    </row>
    <row r="80" spans="2:29" ht="25.5" thickTop="1" thickBot="1" x14ac:dyDescent="0.35">
      <c r="B80" s="128" t="s">
        <v>23</v>
      </c>
      <c r="C80" s="62">
        <f>Flujos!$C$51</f>
        <v>1136850.5747126434</v>
      </c>
      <c r="D80" s="63">
        <f>Flujos!$D$51</f>
        <v>1330416.0919540245</v>
      </c>
      <c r="E80" s="63">
        <f>Flujos!$E$51</f>
        <v>1537773.174712643</v>
      </c>
      <c r="F80" s="63">
        <f>Flujos!$F$51</f>
        <v>1758655.4788540266</v>
      </c>
      <c r="G80" s="63">
        <f>Flujos!$G$51</f>
        <v>1992500.4870434925</v>
      </c>
      <c r="H80" s="63">
        <f>Flujos!$H$51</f>
        <v>1201716.7864932492</v>
      </c>
      <c r="I80" s="63">
        <f>Flujos!$I$51</f>
        <v>2026426.4978019819</v>
      </c>
      <c r="J80" s="63">
        <f>Flujos!$J$51</f>
        <v>1943293.3859440945</v>
      </c>
      <c r="K80" s="63">
        <f>Flujos!$K$51</f>
        <v>1848921.8877644427</v>
      </c>
      <c r="L80" s="64">
        <f>Flujos!$L$51</f>
        <v>1739091.9504736364</v>
      </c>
      <c r="S80" s="209" t="s">
        <v>23</v>
      </c>
      <c r="T80" s="66">
        <f>Flujos!$C$51</f>
        <v>1136850.5747126434</v>
      </c>
      <c r="U80" s="67">
        <f>Flujos!$D$51</f>
        <v>1330416.0919540245</v>
      </c>
      <c r="V80" s="67">
        <f>Flujos!$E$51</f>
        <v>1537773.174712643</v>
      </c>
      <c r="W80" s="67">
        <f>Flujos!$F$51</f>
        <v>1758655.4788540266</v>
      </c>
      <c r="X80" s="67">
        <f>Flujos!$G$51</f>
        <v>1992500.4870434925</v>
      </c>
      <c r="Y80" s="67">
        <f>Flujos!$H$51</f>
        <v>1201716.7864932492</v>
      </c>
      <c r="Z80" s="67">
        <f>Flujos!$I$51</f>
        <v>2026426.4978019819</v>
      </c>
      <c r="AA80" s="67">
        <f>Flujos!$J$51</f>
        <v>1943293.3859440945</v>
      </c>
      <c r="AB80" s="67">
        <f>Flujos!$K$51</f>
        <v>1848921.8877644427</v>
      </c>
      <c r="AC80" s="68">
        <f>Flujos!$L$51</f>
        <v>1739091.9504736364</v>
      </c>
    </row>
    <row r="81" spans="2:29" ht="25.5" thickTop="1" thickBot="1" x14ac:dyDescent="0.35">
      <c r="B81" s="209" t="s">
        <v>25</v>
      </c>
      <c r="C81" s="66">
        <f>C80/(1+$O$28)^C79</f>
        <v>784034.87911216787</v>
      </c>
      <c r="D81" s="67">
        <f t="shared" ref="D81:L81" si="4">D80/(1+$O$28)^D79</f>
        <v>632778.16501975001</v>
      </c>
      <c r="E81" s="67">
        <f t="shared" si="4"/>
        <v>504415.32648739778</v>
      </c>
      <c r="F81" s="67">
        <f t="shared" si="4"/>
        <v>397840.28782993503</v>
      </c>
      <c r="G81" s="67">
        <f t="shared" si="4"/>
        <v>310855.40642014629</v>
      </c>
      <c r="H81" s="67">
        <f t="shared" si="4"/>
        <v>129298.68688784642</v>
      </c>
      <c r="I81" s="67">
        <f t="shared" si="4"/>
        <v>150367.79804810698</v>
      </c>
      <c r="J81" s="67">
        <f t="shared" si="4"/>
        <v>99447.610999755983</v>
      </c>
      <c r="K81" s="67">
        <f t="shared" si="4"/>
        <v>65253.910597579757</v>
      </c>
      <c r="L81" s="68">
        <f t="shared" si="4"/>
        <v>42329.439960312491</v>
      </c>
      <c r="T81" s="69"/>
      <c r="U81" s="69"/>
      <c r="V81" s="69"/>
      <c r="W81" s="69"/>
      <c r="X81" s="69"/>
      <c r="Y81" s="69"/>
      <c r="Z81" s="69"/>
      <c r="AA81" s="69"/>
      <c r="AB81" s="69"/>
      <c r="AC81" s="69"/>
    </row>
    <row r="82" spans="2:29" ht="25.5" thickTop="1" thickBot="1" x14ac:dyDescent="0.4">
      <c r="S82" s="289" t="s">
        <v>96</v>
      </c>
      <c r="T82" s="290"/>
      <c r="U82" s="291"/>
    </row>
    <row r="83" spans="2:29" ht="19.5" thickTop="1" thickBot="1" x14ac:dyDescent="0.35">
      <c r="B83" s="180" t="s">
        <v>31</v>
      </c>
      <c r="C83" s="183">
        <f>SUM(C81:L81)-Flujos!C11</f>
        <v>1316621.5113629983</v>
      </c>
      <c r="D83" s="10" t="str">
        <f>IF(C83&gt;0,"ACEPTADO",IF(C83&lt;0,"RECHAZADO","INDIFERENTE"))</f>
        <v>ACEPTADO</v>
      </c>
      <c r="S83" s="184">
        <f>O28-1%</f>
        <v>0.44</v>
      </c>
      <c r="T83" s="185">
        <f>(C80/(1+$S$83)^T79)+(D80/(1+$S$83)^U79)+(E80/(1+$S$83)^V79)+(F80/(1+$S$83)^W79)+(G80/(1+$S$83)^X79)+(H80/(1+$S$83)^Y79)+(I80/(1+$S$83)^Z79)+(J80/(1+$S$83)^AA79)+(K80/(1+$S$83)^AB79)+(L80/(1+$S$83)^AC79)</f>
        <v>3189411.5366425682</v>
      </c>
      <c r="U83" s="186">
        <f>T83</f>
        <v>3189411.5366425682</v>
      </c>
      <c r="X83" s="285" t="s">
        <v>82</v>
      </c>
      <c r="Y83" s="285"/>
    </row>
    <row r="84" spans="2:29" ht="18.75" thickTop="1" x14ac:dyDescent="0.3">
      <c r="S84" s="187" t="s">
        <v>97</v>
      </c>
      <c r="T84" s="188"/>
      <c r="U84" s="189">
        <f>Flujos!C11</f>
        <v>1800000</v>
      </c>
      <c r="X84" s="173" t="s">
        <v>114</v>
      </c>
      <c r="Y84" s="173" t="s">
        <v>84</v>
      </c>
    </row>
    <row r="85" spans="2:29" ht="18" x14ac:dyDescent="0.3">
      <c r="S85" s="190">
        <f>O28+1%</f>
        <v>0.46</v>
      </c>
      <c r="T85" s="188">
        <f>(C80/(1+$S$85)^T79)+(D80/(1+$S$85)^U79)+(E80/(1+$S$85)^V79)+(F80/(1+$S$85)^W79)+(G80/(1+$S$85)^X79)+(H80/(1+$S$85)^Y79)+(I80/(1+$S$85)^Z79)+(J80/(1+$S$85)^AA79)+(K80/(1+$S$85)^AB79)+(L80/(1+$S$85)^AC79)</f>
        <v>3046697.5394102186</v>
      </c>
      <c r="U85" s="189"/>
      <c r="X85" s="173" t="s">
        <v>112</v>
      </c>
      <c r="Y85" s="173" t="s">
        <v>86</v>
      </c>
    </row>
    <row r="86" spans="2:29" ht="18.75" customHeight="1" thickBot="1" x14ac:dyDescent="0.35">
      <c r="S86" s="191"/>
      <c r="T86" s="192">
        <f>T83-T85</f>
        <v>142713.99723234959</v>
      </c>
      <c r="U86" s="193">
        <f>U83-U84</f>
        <v>1389411.5366425682</v>
      </c>
      <c r="X86" s="173" t="s">
        <v>113</v>
      </c>
      <c r="Y86" s="173" t="s">
        <v>88</v>
      </c>
    </row>
    <row r="87" spans="2:29" ht="15.75" customHeight="1" thickTop="1" thickBot="1" x14ac:dyDescent="0.35">
      <c r="S87" s="187"/>
      <c r="T87" s="194"/>
      <c r="U87" s="195"/>
    </row>
    <row r="88" spans="2:29" ht="18.75" thickTop="1" x14ac:dyDescent="0.3">
      <c r="S88" s="196" t="s">
        <v>32</v>
      </c>
      <c r="T88" s="197">
        <f>((T86/U86)*1+(S83*100))/100</f>
        <v>0.44102715425537065</v>
      </c>
      <c r="U88" s="198"/>
      <c r="V88" s="283" t="str">
        <f>IF(T89&gt;0,"ACEPTADO",IF(T89&lt;0,"RECHAZADO","INDIFERENTE"))</f>
        <v>ACEPTADO</v>
      </c>
    </row>
    <row r="89" spans="2:29" ht="18.75" thickBot="1" x14ac:dyDescent="0.35">
      <c r="S89" s="191"/>
      <c r="T89" s="199">
        <f>((C80/(1+$T$88)^T79)+(D80/(1+$T$88)^U79)+(E80/(1+$T$88)^V79)+(F80/(1+$T$88)^W79)+(G80/(1+$T$88)^X79)+(H80/(1+$T$88)^Y79)+(I80/(1+$T$88)^Z79)+(J80/(1+$T$88)^AA79)+(K80/(1+$T$88)^AB79)+(L80/(1+$T$88)^AC79))-Flujos!C11</f>
        <v>1381798.197723248</v>
      </c>
      <c r="U89" s="200"/>
      <c r="V89" s="284"/>
    </row>
    <row r="90" spans="2:29" ht="17.25" thickTop="1" x14ac:dyDescent="0.3"/>
  </sheetData>
  <mergeCells count="13">
    <mergeCell ref="V88:V89"/>
    <mergeCell ref="X83:Y83"/>
    <mergeCell ref="B3:M3"/>
    <mergeCell ref="B28:L28"/>
    <mergeCell ref="S28:AC28"/>
    <mergeCell ref="B51:L51"/>
    <mergeCell ref="S82:U82"/>
    <mergeCell ref="H55:I55"/>
    <mergeCell ref="S51:AC51"/>
    <mergeCell ref="B77:L77"/>
    <mergeCell ref="S77:AC77"/>
    <mergeCell ref="W57:X57"/>
    <mergeCell ref="U59:U60"/>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25" r:id="rId4" name="Button 9">
              <controlPr defaultSize="0" print="0" autoFill="0" autoPict="0" macro="[0]!M_Periodo">
                <anchor moveWithCells="1" sizeWithCells="1">
                  <from>
                    <xdr:col>2</xdr:col>
                    <xdr:colOff>533400</xdr:colOff>
                    <xdr:row>9</xdr:row>
                    <xdr:rowOff>76200</xdr:rowOff>
                  </from>
                  <to>
                    <xdr:col>4</xdr:col>
                    <xdr:colOff>895350</xdr:colOff>
                    <xdr:row>12</xdr:row>
                    <xdr:rowOff>19050</xdr:rowOff>
                  </to>
                </anchor>
              </controlPr>
            </control>
          </mc:Choice>
        </mc:AlternateContent>
        <mc:AlternateContent xmlns:mc="http://schemas.openxmlformats.org/markup-compatibility/2006">
          <mc:Choice Requires="x14">
            <control shapeId="9226" r:id="rId5" name="Button 10">
              <controlPr defaultSize="0" print="0" autoFill="0" autoPict="0" macro="[0]!M_Indi">
                <anchor moveWithCells="1" sizeWithCells="1">
                  <from>
                    <xdr:col>2</xdr:col>
                    <xdr:colOff>504825</xdr:colOff>
                    <xdr:row>15</xdr:row>
                    <xdr:rowOff>114300</xdr:rowOff>
                  </from>
                  <to>
                    <xdr:col>4</xdr:col>
                    <xdr:colOff>866775</xdr:colOff>
                    <xdr:row>18</xdr:row>
                    <xdr:rowOff>57150</xdr:rowOff>
                  </to>
                </anchor>
              </controlPr>
            </control>
          </mc:Choice>
        </mc:AlternateContent>
        <mc:AlternateContent xmlns:mc="http://schemas.openxmlformats.org/markup-compatibility/2006">
          <mc:Choice Requires="x14">
            <control shapeId="9227" r:id="rId6" name="Button 11">
              <controlPr defaultSize="0" print="0" autoFill="0" autoPict="0" macro="[0]!M_Suma">
                <anchor moveWithCells="1" sizeWithCells="1">
                  <from>
                    <xdr:col>5</xdr:col>
                    <xdr:colOff>866775</xdr:colOff>
                    <xdr:row>9</xdr:row>
                    <xdr:rowOff>76200</xdr:rowOff>
                  </from>
                  <to>
                    <xdr:col>8</xdr:col>
                    <xdr:colOff>238125</xdr:colOff>
                    <xdr:row>12</xdr:row>
                    <xdr:rowOff>19050</xdr:rowOff>
                  </to>
                </anchor>
              </controlPr>
            </control>
          </mc:Choice>
        </mc:AlternateContent>
        <mc:AlternateContent xmlns:mc="http://schemas.openxmlformats.org/markup-compatibility/2006">
          <mc:Choice Requires="x14">
            <control shapeId="9228" r:id="rId7" name="Button 12">
              <controlPr defaultSize="0" print="0" autoFill="0" autoPict="0" macro="[0]!M_Valor">
                <anchor moveWithCells="1" sizeWithCells="1">
                  <from>
                    <xdr:col>5</xdr:col>
                    <xdr:colOff>838200</xdr:colOff>
                    <xdr:row>15</xdr:row>
                    <xdr:rowOff>114300</xdr:rowOff>
                  </from>
                  <to>
                    <xdr:col>8</xdr:col>
                    <xdr:colOff>209550</xdr:colOff>
                    <xdr:row>18</xdr:row>
                    <xdr:rowOff>57150</xdr:rowOff>
                  </to>
                </anchor>
              </controlPr>
            </control>
          </mc:Choice>
        </mc:AlternateContent>
        <mc:AlternateContent xmlns:mc="http://schemas.openxmlformats.org/markup-compatibility/2006">
          <mc:Choice Requires="x14">
            <control shapeId="9229" r:id="rId8" name="Button 13">
              <controlPr defaultSize="0" print="0" autoFill="0" autoPict="0" macro="[0]!M_Rend">
                <anchor moveWithCells="1" sizeWithCells="1">
                  <from>
                    <xdr:col>9</xdr:col>
                    <xdr:colOff>190500</xdr:colOff>
                    <xdr:row>9</xdr:row>
                    <xdr:rowOff>95250</xdr:rowOff>
                  </from>
                  <to>
                    <xdr:col>11</xdr:col>
                    <xdr:colOff>428625</xdr:colOff>
                    <xdr:row>12</xdr:row>
                    <xdr:rowOff>47625</xdr:rowOff>
                  </to>
                </anchor>
              </controlPr>
            </control>
          </mc:Choice>
        </mc:AlternateContent>
        <mc:AlternateContent xmlns:mc="http://schemas.openxmlformats.org/markup-compatibility/2006">
          <mc:Choice Requires="x14">
            <control shapeId="9230" r:id="rId9" name="Button 14">
              <controlPr defaultSize="0" print="0" autoFill="0" autoPict="0" macro="[0]!M_Tasa">
                <anchor moveWithCells="1" sizeWithCells="1">
                  <from>
                    <xdr:col>9</xdr:col>
                    <xdr:colOff>161925</xdr:colOff>
                    <xdr:row>15</xdr:row>
                    <xdr:rowOff>133350</xdr:rowOff>
                  </from>
                  <to>
                    <xdr:col>11</xdr:col>
                    <xdr:colOff>400050</xdr:colOff>
                    <xdr:row>18</xdr:row>
                    <xdr:rowOff>76200</xdr:rowOff>
                  </to>
                </anchor>
              </controlPr>
            </control>
          </mc:Choice>
        </mc:AlternateContent>
        <mc:AlternateContent xmlns:mc="http://schemas.openxmlformats.org/markup-compatibility/2006">
          <mc:Choice Requires="x14">
            <control shapeId="9239" r:id="rId10" name="Button 23">
              <controlPr defaultSize="0" print="0" autoFill="0" autoPict="0" macro="[0]!M_Regre">
                <anchor moveWithCells="1" sizeWithCells="1">
                  <from>
                    <xdr:col>10</xdr:col>
                    <xdr:colOff>285750</xdr:colOff>
                    <xdr:row>38</xdr:row>
                    <xdr:rowOff>57150</xdr:rowOff>
                  </from>
                  <to>
                    <xdr:col>11</xdr:col>
                    <xdr:colOff>962025</xdr:colOff>
                    <xdr:row>40</xdr:row>
                    <xdr:rowOff>114300</xdr:rowOff>
                  </to>
                </anchor>
              </controlPr>
            </control>
          </mc:Choice>
        </mc:AlternateContent>
        <mc:AlternateContent xmlns:mc="http://schemas.openxmlformats.org/markup-compatibility/2006">
          <mc:Choice Requires="x14">
            <control shapeId="9240" r:id="rId11" name="Button 24">
              <controlPr defaultSize="0" print="0" autoFill="0" autoPict="0" macro="[0]!M_Regre">
                <anchor moveWithCells="1" sizeWithCells="1">
                  <from>
                    <xdr:col>27</xdr:col>
                    <xdr:colOff>285750</xdr:colOff>
                    <xdr:row>38</xdr:row>
                    <xdr:rowOff>57150</xdr:rowOff>
                  </from>
                  <to>
                    <xdr:col>28</xdr:col>
                    <xdr:colOff>962025</xdr:colOff>
                    <xdr:row>40</xdr:row>
                    <xdr:rowOff>114300</xdr:rowOff>
                  </to>
                </anchor>
              </controlPr>
            </control>
          </mc:Choice>
        </mc:AlternateContent>
        <mc:AlternateContent xmlns:mc="http://schemas.openxmlformats.org/markup-compatibility/2006">
          <mc:Choice Requires="x14">
            <control shapeId="9241" r:id="rId12" name="Button 25">
              <controlPr defaultSize="0" print="0" autoFill="0" autoPict="0" macro="[0]!M_Regre">
                <anchor moveWithCells="1" sizeWithCells="1">
                  <from>
                    <xdr:col>10</xdr:col>
                    <xdr:colOff>285750</xdr:colOff>
                    <xdr:row>60</xdr:row>
                    <xdr:rowOff>57150</xdr:rowOff>
                  </from>
                  <to>
                    <xdr:col>11</xdr:col>
                    <xdr:colOff>962025</xdr:colOff>
                    <xdr:row>62</xdr:row>
                    <xdr:rowOff>114300</xdr:rowOff>
                  </to>
                </anchor>
              </controlPr>
            </control>
          </mc:Choice>
        </mc:AlternateContent>
        <mc:AlternateContent xmlns:mc="http://schemas.openxmlformats.org/markup-compatibility/2006">
          <mc:Choice Requires="x14">
            <control shapeId="9242" r:id="rId13" name="Button 26">
              <controlPr defaultSize="0" print="0" autoFill="0" autoPict="0" macro="[0]!M_Regre">
                <anchor moveWithCells="1" sizeWithCells="1">
                  <from>
                    <xdr:col>27</xdr:col>
                    <xdr:colOff>285750</xdr:colOff>
                    <xdr:row>60</xdr:row>
                    <xdr:rowOff>57150</xdr:rowOff>
                  </from>
                  <to>
                    <xdr:col>28</xdr:col>
                    <xdr:colOff>962025</xdr:colOff>
                    <xdr:row>62</xdr:row>
                    <xdr:rowOff>114300</xdr:rowOff>
                  </to>
                </anchor>
              </controlPr>
            </control>
          </mc:Choice>
        </mc:AlternateContent>
        <mc:AlternateContent xmlns:mc="http://schemas.openxmlformats.org/markup-compatibility/2006">
          <mc:Choice Requires="x14">
            <control shapeId="9246" r:id="rId14" name="Button 30">
              <controlPr defaultSize="0" print="0" autoFill="0" autoPict="0" macro="[0]!M_Regre">
                <anchor moveWithCells="1" sizeWithCells="1">
                  <from>
                    <xdr:col>10</xdr:col>
                    <xdr:colOff>285750</xdr:colOff>
                    <xdr:row>84</xdr:row>
                    <xdr:rowOff>57150</xdr:rowOff>
                  </from>
                  <to>
                    <xdr:col>11</xdr:col>
                    <xdr:colOff>962025</xdr:colOff>
                    <xdr:row>86</xdr:row>
                    <xdr:rowOff>114300</xdr:rowOff>
                  </to>
                </anchor>
              </controlPr>
            </control>
          </mc:Choice>
        </mc:AlternateContent>
        <mc:AlternateContent xmlns:mc="http://schemas.openxmlformats.org/markup-compatibility/2006">
          <mc:Choice Requires="x14">
            <control shapeId="9248" r:id="rId15" name="Button 32">
              <controlPr defaultSize="0" print="0" autoFill="0" autoPict="0" macro="[0]!M_Regre">
                <anchor moveWithCells="1" sizeWithCells="1">
                  <from>
                    <xdr:col>27</xdr:col>
                    <xdr:colOff>285750</xdr:colOff>
                    <xdr:row>84</xdr:row>
                    <xdr:rowOff>57150</xdr:rowOff>
                  </from>
                  <to>
                    <xdr:col>28</xdr:col>
                    <xdr:colOff>962025</xdr:colOff>
                    <xdr:row>86</xdr:row>
                    <xdr:rowOff>114300</xdr:rowOff>
                  </to>
                </anchor>
              </controlPr>
            </control>
          </mc:Choice>
        </mc:AlternateContent>
        <mc:AlternateContent xmlns:mc="http://schemas.openxmlformats.org/markup-compatibility/2006">
          <mc:Choice Requires="x14">
            <control shapeId="9249" r:id="rId16" name="Button 33">
              <controlPr defaultSize="0" print="0" autoFill="0" autoPict="0" macro="[0]!INGRESO_D">
                <anchor moveWithCells="1" sizeWithCells="1">
                  <from>
                    <xdr:col>2</xdr:col>
                    <xdr:colOff>885825</xdr:colOff>
                    <xdr:row>0</xdr:row>
                    <xdr:rowOff>85725</xdr:rowOff>
                  </from>
                  <to>
                    <xdr:col>3</xdr:col>
                    <xdr:colOff>619125</xdr:colOff>
                    <xdr:row>0</xdr:row>
                    <xdr:rowOff>542925</xdr:rowOff>
                  </to>
                </anchor>
              </controlPr>
            </control>
          </mc:Choice>
        </mc:AlternateContent>
        <mc:AlternateContent xmlns:mc="http://schemas.openxmlformats.org/markup-compatibility/2006">
          <mc:Choice Requires="x14">
            <control shapeId="9250" r:id="rId17" name="Button 34">
              <controlPr defaultSize="0" print="0" autoFill="0" autoPict="0" macro="[0]!ESTADO_RE">
                <anchor moveWithCells="1" sizeWithCells="1">
                  <from>
                    <xdr:col>8</xdr:col>
                    <xdr:colOff>666750</xdr:colOff>
                    <xdr:row>0</xdr:row>
                    <xdr:rowOff>104775</xdr:rowOff>
                  </from>
                  <to>
                    <xdr:col>9</xdr:col>
                    <xdr:colOff>390525</xdr:colOff>
                    <xdr:row>0</xdr:row>
                    <xdr:rowOff>466725</xdr:rowOff>
                  </to>
                </anchor>
              </controlPr>
            </control>
          </mc:Choice>
        </mc:AlternateContent>
        <mc:AlternateContent xmlns:mc="http://schemas.openxmlformats.org/markup-compatibility/2006">
          <mc:Choice Requires="x14">
            <control shapeId="9251" r:id="rId18" name="Button 35">
              <controlPr defaultSize="0" print="0" autoFill="0" autoPict="0" macro="[0]!COSTO_PRO">
                <anchor moveWithCells="1" sizeWithCells="1">
                  <from>
                    <xdr:col>3</xdr:col>
                    <xdr:colOff>923925</xdr:colOff>
                    <xdr:row>0</xdr:row>
                    <xdr:rowOff>123825</xdr:rowOff>
                  </from>
                  <to>
                    <xdr:col>5</xdr:col>
                    <xdr:colOff>133350</xdr:colOff>
                    <xdr:row>0</xdr:row>
                    <xdr:rowOff>485775</xdr:rowOff>
                  </to>
                </anchor>
              </controlPr>
            </control>
          </mc:Choice>
        </mc:AlternateContent>
        <mc:AlternateContent xmlns:mc="http://schemas.openxmlformats.org/markup-compatibility/2006">
          <mc:Choice Requires="x14">
            <control shapeId="9252" r:id="rId19" name="Button 36">
              <controlPr defaultSize="0" print="0" autoFill="0" autoPict="0" macro="[0]!DEPRE">
                <anchor moveWithCells="1" sizeWithCells="1">
                  <from>
                    <xdr:col>5</xdr:col>
                    <xdr:colOff>438150</xdr:colOff>
                    <xdr:row>0</xdr:row>
                    <xdr:rowOff>123825</xdr:rowOff>
                  </from>
                  <to>
                    <xdr:col>6</xdr:col>
                    <xdr:colOff>561975</xdr:colOff>
                    <xdr:row>0</xdr:row>
                    <xdr:rowOff>485775</xdr:rowOff>
                  </to>
                </anchor>
              </controlPr>
            </control>
          </mc:Choice>
        </mc:AlternateContent>
        <mc:AlternateContent xmlns:mc="http://schemas.openxmlformats.org/markup-compatibility/2006">
          <mc:Choice Requires="x14">
            <control shapeId="9253" r:id="rId20" name="Button 37">
              <controlPr defaultSize="0" print="0" autoFill="0" autoPict="0" macro="[0]!GASTOS">
                <anchor moveWithCells="1" sizeWithCells="1">
                  <from>
                    <xdr:col>6</xdr:col>
                    <xdr:colOff>1028700</xdr:colOff>
                    <xdr:row>0</xdr:row>
                    <xdr:rowOff>114300</xdr:rowOff>
                  </from>
                  <to>
                    <xdr:col>8</xdr:col>
                    <xdr:colOff>342900</xdr:colOff>
                    <xdr:row>0</xdr:row>
                    <xdr:rowOff>476250</xdr:rowOff>
                  </to>
                </anchor>
              </controlPr>
            </control>
          </mc:Choice>
        </mc:AlternateContent>
        <mc:AlternateContent xmlns:mc="http://schemas.openxmlformats.org/markup-compatibility/2006">
          <mc:Choice Requires="x14">
            <control shapeId="9254" r:id="rId21" name="Button 38">
              <controlPr defaultSize="0" print="0" autoFill="0" autoPict="0" macro="[0]!FLUJOS">
                <anchor moveWithCells="1" sizeWithCells="1">
                  <from>
                    <xdr:col>9</xdr:col>
                    <xdr:colOff>638175</xdr:colOff>
                    <xdr:row>0</xdr:row>
                    <xdr:rowOff>85725</xdr:rowOff>
                  </from>
                  <to>
                    <xdr:col>10</xdr:col>
                    <xdr:colOff>209550</xdr:colOff>
                    <xdr:row>0</xdr:row>
                    <xdr:rowOff>447675</xdr:rowOff>
                  </to>
                </anchor>
              </controlPr>
            </control>
          </mc:Choice>
        </mc:AlternateContent>
        <mc:AlternateContent xmlns:mc="http://schemas.openxmlformats.org/markup-compatibility/2006">
          <mc:Choice Requires="x14">
            <control shapeId="9256" r:id="rId22" name="Button 40">
              <controlPr defaultSize="0" print="0" autoFill="0" autoPict="0" macro="[0]!PORTADA">
                <anchor moveWithCells="1" sizeWithCells="1">
                  <from>
                    <xdr:col>0</xdr:col>
                    <xdr:colOff>95250</xdr:colOff>
                    <xdr:row>0</xdr:row>
                    <xdr:rowOff>114300</xdr:rowOff>
                  </from>
                  <to>
                    <xdr:col>1</xdr:col>
                    <xdr:colOff>266700</xdr:colOff>
                    <xdr:row>0</xdr:row>
                    <xdr:rowOff>476250</xdr:rowOff>
                  </to>
                </anchor>
              </controlPr>
            </control>
          </mc:Choice>
        </mc:AlternateContent>
        <mc:AlternateContent xmlns:mc="http://schemas.openxmlformats.org/markup-compatibility/2006">
          <mc:Choice Requires="x14">
            <control shapeId="9257" r:id="rId23" name="Button 41">
              <controlPr defaultSize="0" print="0" autoFill="0" autoPict="0" macro="[0]!Informe">
                <anchor moveWithCells="1" sizeWithCells="1">
                  <from>
                    <xdr:col>10</xdr:col>
                    <xdr:colOff>714375</xdr:colOff>
                    <xdr:row>0</xdr:row>
                    <xdr:rowOff>114300</xdr:rowOff>
                  </from>
                  <to>
                    <xdr:col>11</xdr:col>
                    <xdr:colOff>323850</xdr:colOff>
                    <xdr:row>0</xdr:row>
                    <xdr:rowOff>485775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9"/>
  <dimension ref="A1:BD61"/>
  <sheetViews>
    <sheetView zoomScale="96" zoomScaleNormal="96" workbookViewId="0">
      <selection activeCell="D1" sqref="D1"/>
    </sheetView>
  </sheetViews>
  <sheetFormatPr baseColWidth="10" defaultRowHeight="15" x14ac:dyDescent="0.25"/>
  <cols>
    <col min="1" max="1" width="7.7109375" customWidth="1"/>
    <col min="2" max="2" width="6.140625" customWidth="1"/>
    <col min="4" max="4" width="26.85546875" bestFit="1" customWidth="1"/>
    <col min="5" max="5" width="2.85546875" customWidth="1"/>
    <col min="8" max="8" width="26.85546875" bestFit="1" customWidth="1"/>
    <col min="13" max="13" width="26.85546875" bestFit="1" customWidth="1"/>
    <col min="17" max="17" width="27.42578125" bestFit="1" customWidth="1"/>
    <col min="22" max="22" width="26.85546875" bestFit="1" customWidth="1"/>
    <col min="26" max="26" width="23.140625" bestFit="1" customWidth="1"/>
    <col min="31" max="31" width="26.85546875" bestFit="1" customWidth="1"/>
    <col min="35" max="35" width="23.140625" bestFit="1" customWidth="1"/>
    <col min="40" max="40" width="26.85546875" bestFit="1" customWidth="1"/>
    <col min="44" max="44" width="23.140625" bestFit="1" customWidth="1"/>
  </cols>
  <sheetData>
    <row r="1" spans="1:56" s="45" customFormat="1" ht="48" customHeight="1" x14ac:dyDescent="0.25">
      <c r="A1" s="343"/>
      <c r="B1" s="343"/>
      <c r="C1" s="343"/>
      <c r="D1" s="343"/>
      <c r="E1" s="343"/>
      <c r="F1" s="343"/>
      <c r="G1" s="343"/>
      <c r="H1" s="343"/>
      <c r="I1" s="343"/>
      <c r="J1" s="343"/>
      <c r="K1" s="343"/>
      <c r="L1" s="343"/>
      <c r="M1" s="343"/>
      <c r="N1" s="343"/>
      <c r="O1" s="343"/>
      <c r="P1" s="343"/>
      <c r="Q1" s="343"/>
      <c r="R1" s="343"/>
      <c r="S1" s="343"/>
      <c r="T1" s="343"/>
      <c r="U1" s="343"/>
      <c r="V1" s="343"/>
      <c r="W1" s="343"/>
      <c r="X1" s="343"/>
      <c r="Y1" s="343"/>
      <c r="Z1" s="343"/>
      <c r="AA1" s="343"/>
      <c r="AB1" s="343"/>
      <c r="AC1" s="343"/>
      <c r="AD1" s="343"/>
      <c r="AE1" s="343"/>
      <c r="AF1" s="343"/>
      <c r="AG1" s="343"/>
      <c r="AH1" s="343"/>
      <c r="AI1" s="343"/>
      <c r="AJ1" s="343"/>
      <c r="AK1" s="343"/>
      <c r="AL1" s="343"/>
      <c r="AM1" s="343"/>
      <c r="AN1" s="343"/>
      <c r="AO1" s="343"/>
      <c r="AP1" s="343"/>
      <c r="AQ1" s="343"/>
      <c r="AR1" s="343"/>
      <c r="AS1" s="343"/>
      <c r="AT1" s="343"/>
      <c r="AU1" s="343"/>
      <c r="AV1" s="343"/>
      <c r="AW1" s="343"/>
      <c r="AX1" s="327"/>
      <c r="AY1" s="327"/>
      <c r="AZ1" s="327"/>
    </row>
    <row r="2" spans="1:56" x14ac:dyDescent="0.25">
      <c r="A2" s="292" t="s">
        <v>118</v>
      </c>
      <c r="B2" s="292"/>
      <c r="C2" s="292"/>
      <c r="D2" s="292"/>
      <c r="E2" s="292"/>
      <c r="F2" s="292"/>
      <c r="G2" s="292"/>
      <c r="H2" s="292"/>
      <c r="I2" s="43"/>
      <c r="J2" s="292" t="s">
        <v>135</v>
      </c>
      <c r="K2" s="292"/>
      <c r="L2" s="292"/>
      <c r="M2" s="292"/>
      <c r="N2" s="292"/>
      <c r="O2" s="292"/>
      <c r="P2" s="292"/>
      <c r="Q2" s="292"/>
      <c r="R2" s="43"/>
      <c r="S2" s="292" t="s">
        <v>136</v>
      </c>
      <c r="T2" s="292"/>
      <c r="U2" s="292"/>
      <c r="V2" s="292"/>
      <c r="W2" s="292"/>
      <c r="X2" s="292"/>
      <c r="Y2" s="292"/>
      <c r="Z2" s="292"/>
      <c r="AA2" s="43"/>
      <c r="AB2" s="292" t="s">
        <v>137</v>
      </c>
      <c r="AC2" s="292"/>
      <c r="AD2" s="292"/>
      <c r="AE2" s="292"/>
      <c r="AF2" s="292"/>
      <c r="AG2" s="292"/>
      <c r="AH2" s="292"/>
      <c r="AI2" s="292"/>
      <c r="AJ2" s="43"/>
      <c r="AK2" s="292" t="s">
        <v>138</v>
      </c>
      <c r="AL2" s="292"/>
      <c r="AM2" s="292"/>
      <c r="AN2" s="292"/>
      <c r="AO2" s="292"/>
      <c r="AP2" s="292"/>
      <c r="AQ2" s="292"/>
      <c r="AR2" s="292"/>
      <c r="AS2" s="43"/>
      <c r="AT2" s="43"/>
      <c r="AU2" s="43"/>
      <c r="AV2" s="43"/>
      <c r="AW2" s="43"/>
      <c r="AX2" s="43"/>
      <c r="AY2" s="43"/>
      <c r="AZ2" s="43"/>
      <c r="BA2" s="43"/>
      <c r="BB2" s="43"/>
      <c r="BC2" s="43"/>
      <c r="BD2" s="43"/>
    </row>
    <row r="3" spans="1:56" x14ac:dyDescent="0.25">
      <c r="A3" s="12"/>
      <c r="B3" s="13"/>
      <c r="C3" s="13"/>
      <c r="D3" s="13"/>
      <c r="E3" s="14"/>
      <c r="F3" s="15"/>
      <c r="G3" s="16"/>
      <c r="H3" s="14"/>
      <c r="I3" s="43"/>
      <c r="J3" s="12"/>
      <c r="K3" s="13"/>
      <c r="L3" s="13"/>
      <c r="M3" s="13"/>
      <c r="N3" s="14"/>
      <c r="O3" s="15"/>
      <c r="P3" s="16"/>
      <c r="Q3" s="14"/>
      <c r="R3" s="43"/>
      <c r="S3" s="12"/>
      <c r="T3" s="13"/>
      <c r="U3" s="13"/>
      <c r="V3" s="13"/>
      <c r="W3" s="14"/>
      <c r="X3" s="15"/>
      <c r="Y3" s="16"/>
      <c r="Z3" s="14"/>
      <c r="AA3" s="43"/>
      <c r="AB3" s="12"/>
      <c r="AC3" s="13"/>
      <c r="AD3" s="13"/>
      <c r="AE3" s="13"/>
      <c r="AF3" s="14"/>
      <c r="AG3" s="15"/>
      <c r="AH3" s="16"/>
      <c r="AI3" s="14"/>
      <c r="AJ3" s="43"/>
      <c r="AK3" s="12"/>
      <c r="AL3" s="13"/>
      <c r="AM3" s="13"/>
      <c r="AN3" s="13"/>
      <c r="AO3" s="14"/>
      <c r="AP3" s="15"/>
      <c r="AQ3" s="16"/>
      <c r="AR3" s="14"/>
      <c r="AS3" s="43"/>
      <c r="AT3" s="43"/>
      <c r="AU3" s="43"/>
      <c r="AV3" s="43"/>
      <c r="AW3" s="43"/>
      <c r="AX3" s="43"/>
      <c r="AY3" s="43"/>
      <c r="AZ3" s="43"/>
      <c r="BA3" s="43"/>
      <c r="BB3" s="43"/>
      <c r="BC3" s="43"/>
      <c r="BD3" s="43"/>
    </row>
    <row r="4" spans="1:56" x14ac:dyDescent="0.25">
      <c r="A4" s="293" t="s">
        <v>119</v>
      </c>
      <c r="B4" s="294"/>
      <c r="C4" s="294"/>
      <c r="D4" s="294"/>
      <c r="E4" s="17"/>
      <c r="F4" s="293" t="s">
        <v>120</v>
      </c>
      <c r="G4" s="294"/>
      <c r="H4" s="295"/>
      <c r="I4" s="43"/>
      <c r="J4" s="293" t="s">
        <v>119</v>
      </c>
      <c r="K4" s="294"/>
      <c r="L4" s="294"/>
      <c r="M4" s="294"/>
      <c r="N4" s="17"/>
      <c r="O4" s="293" t="s">
        <v>120</v>
      </c>
      <c r="P4" s="294"/>
      <c r="Q4" s="295"/>
      <c r="R4" s="43"/>
      <c r="S4" s="293" t="s">
        <v>119</v>
      </c>
      <c r="T4" s="294"/>
      <c r="U4" s="294"/>
      <c r="V4" s="294"/>
      <c r="W4" s="17"/>
      <c r="X4" s="293" t="s">
        <v>120</v>
      </c>
      <c r="Y4" s="294"/>
      <c r="Z4" s="295"/>
      <c r="AA4" s="43"/>
      <c r="AB4" s="293" t="s">
        <v>119</v>
      </c>
      <c r="AC4" s="294"/>
      <c r="AD4" s="294"/>
      <c r="AE4" s="294"/>
      <c r="AF4" s="17"/>
      <c r="AG4" s="293" t="s">
        <v>120</v>
      </c>
      <c r="AH4" s="294"/>
      <c r="AI4" s="295"/>
      <c r="AJ4" s="43"/>
      <c r="AK4" s="293" t="s">
        <v>119</v>
      </c>
      <c r="AL4" s="294"/>
      <c r="AM4" s="294"/>
      <c r="AN4" s="294"/>
      <c r="AO4" s="17"/>
      <c r="AP4" s="293" t="s">
        <v>120</v>
      </c>
      <c r="AQ4" s="294"/>
      <c r="AR4" s="295"/>
      <c r="AS4" s="43"/>
      <c r="AT4" s="43"/>
      <c r="AU4" s="43"/>
      <c r="AV4" s="43"/>
      <c r="AW4" s="43"/>
      <c r="AX4" s="43"/>
      <c r="AY4" s="43"/>
      <c r="AZ4" s="43"/>
      <c r="BA4" s="43"/>
      <c r="BB4" s="43"/>
      <c r="BC4" s="43"/>
      <c r="BD4" s="43"/>
    </row>
    <row r="5" spans="1:56" ht="15.75" thickBot="1" x14ac:dyDescent="0.3">
      <c r="A5" s="296" t="s">
        <v>121</v>
      </c>
      <c r="B5" s="297"/>
      <c r="C5" s="297"/>
      <c r="D5" s="18">
        <f>H10+D11+D13+Datos!$I$10</f>
        <v>1336850.5747126434</v>
      </c>
      <c r="E5" s="14"/>
      <c r="F5" s="12"/>
      <c r="G5" s="13"/>
      <c r="H5" s="19">
        <v>0</v>
      </c>
      <c r="I5" s="43"/>
      <c r="J5" s="296" t="s">
        <v>121</v>
      </c>
      <c r="K5" s="297"/>
      <c r="L5" s="297"/>
      <c r="M5" s="18">
        <f>Q10+M11+M13+Datos!$I$10</f>
        <v>1530416.091954024</v>
      </c>
      <c r="N5" s="14"/>
      <c r="O5" s="12"/>
      <c r="P5" s="13"/>
      <c r="Q5" s="19">
        <v>0</v>
      </c>
      <c r="R5" s="43"/>
      <c r="S5" s="296" t="s">
        <v>121</v>
      </c>
      <c r="T5" s="297"/>
      <c r="U5" s="297"/>
      <c r="V5" s="18">
        <f>Z10+V11+V13+Datos!$I$10</f>
        <v>1737773.1747126456</v>
      </c>
      <c r="W5" s="14"/>
      <c r="X5" s="12"/>
      <c r="Y5" s="13"/>
      <c r="Z5" s="19">
        <v>0</v>
      </c>
      <c r="AA5" s="43"/>
      <c r="AB5" s="296" t="s">
        <v>121</v>
      </c>
      <c r="AC5" s="297"/>
      <c r="AD5" s="297"/>
      <c r="AE5" s="18">
        <f>AI10+AE11+AE13+Datos!$I$10</f>
        <v>1958655.4788540241</v>
      </c>
      <c r="AF5" s="14"/>
      <c r="AG5" s="12"/>
      <c r="AH5" s="13"/>
      <c r="AI5" s="19">
        <v>0</v>
      </c>
      <c r="AJ5" s="43"/>
      <c r="AK5" s="296" t="s">
        <v>121</v>
      </c>
      <c r="AL5" s="297"/>
      <c r="AM5" s="297"/>
      <c r="AN5" s="18">
        <f>AR10+AN11+AN13+Datos!$I$10</f>
        <v>2192500.4870434944</v>
      </c>
      <c r="AO5" s="14"/>
      <c r="AP5" s="12"/>
      <c r="AQ5" s="13"/>
      <c r="AR5" s="19">
        <v>0</v>
      </c>
      <c r="AS5" s="43"/>
      <c r="AT5" s="43"/>
      <c r="AU5" s="43"/>
      <c r="AV5" s="43"/>
      <c r="AW5" s="43"/>
      <c r="AX5" s="43"/>
      <c r="AY5" s="43"/>
      <c r="AZ5" s="43"/>
      <c r="BA5" s="43"/>
      <c r="BB5" s="43"/>
      <c r="BC5" s="43"/>
      <c r="BD5" s="43"/>
    </row>
    <row r="6" spans="1:56" x14ac:dyDescent="0.25">
      <c r="A6" s="298" t="s">
        <v>122</v>
      </c>
      <c r="B6" s="299"/>
      <c r="C6" s="299"/>
      <c r="D6" s="20">
        <f>D5</f>
        <v>1336850.5747126434</v>
      </c>
      <c r="E6" s="21"/>
      <c r="F6" s="298" t="s">
        <v>123</v>
      </c>
      <c r="G6" s="299"/>
      <c r="H6" s="22">
        <f>H4</f>
        <v>0</v>
      </c>
      <c r="I6" s="43"/>
      <c r="J6" s="298" t="s">
        <v>122</v>
      </c>
      <c r="K6" s="299"/>
      <c r="L6" s="299"/>
      <c r="M6" s="20">
        <f>M5</f>
        <v>1530416.091954024</v>
      </c>
      <c r="N6" s="21"/>
      <c r="O6" s="298" t="s">
        <v>123</v>
      </c>
      <c r="P6" s="299"/>
      <c r="Q6" s="22">
        <f>Q4</f>
        <v>0</v>
      </c>
      <c r="R6" s="43"/>
      <c r="S6" s="298" t="s">
        <v>122</v>
      </c>
      <c r="T6" s="299"/>
      <c r="U6" s="299"/>
      <c r="V6" s="20">
        <f>V5</f>
        <v>1737773.1747126456</v>
      </c>
      <c r="W6" s="21"/>
      <c r="X6" s="298" t="s">
        <v>123</v>
      </c>
      <c r="Y6" s="299"/>
      <c r="Z6" s="22">
        <f>Z4</f>
        <v>0</v>
      </c>
      <c r="AA6" s="43"/>
      <c r="AB6" s="298" t="s">
        <v>122</v>
      </c>
      <c r="AC6" s="299"/>
      <c r="AD6" s="299"/>
      <c r="AE6" s="20">
        <f>AE5</f>
        <v>1958655.4788540241</v>
      </c>
      <c r="AF6" s="21"/>
      <c r="AG6" s="298" t="s">
        <v>123</v>
      </c>
      <c r="AH6" s="299"/>
      <c r="AI6" s="22">
        <f>AI4</f>
        <v>0</v>
      </c>
      <c r="AJ6" s="43"/>
      <c r="AK6" s="298" t="s">
        <v>122</v>
      </c>
      <c r="AL6" s="299"/>
      <c r="AM6" s="299"/>
      <c r="AN6" s="20">
        <f>AN5</f>
        <v>2192500.4870434944</v>
      </c>
      <c r="AO6" s="21"/>
      <c r="AP6" s="298" t="s">
        <v>123</v>
      </c>
      <c r="AQ6" s="299"/>
      <c r="AR6" s="22">
        <f>AR4</f>
        <v>0</v>
      </c>
      <c r="AS6" s="43"/>
      <c r="AT6" s="43"/>
      <c r="AU6" s="43"/>
      <c r="AV6" s="43"/>
      <c r="AW6" s="43"/>
      <c r="AX6" s="43"/>
      <c r="AY6" s="43"/>
      <c r="AZ6" s="43"/>
      <c r="BA6" s="43"/>
      <c r="BB6" s="43"/>
      <c r="BC6" s="43"/>
      <c r="BD6" s="43"/>
    </row>
    <row r="7" spans="1:56" x14ac:dyDescent="0.25">
      <c r="A7" s="23"/>
      <c r="B7" s="24"/>
      <c r="C7" s="24"/>
      <c r="D7" s="25"/>
      <c r="E7" s="21"/>
      <c r="F7" s="26"/>
      <c r="G7" s="27"/>
      <c r="H7" s="28"/>
      <c r="I7" s="43"/>
      <c r="J7" s="23"/>
      <c r="K7" s="24"/>
      <c r="L7" s="24"/>
      <c r="M7" s="25"/>
      <c r="N7" s="21"/>
      <c r="O7" s="26"/>
      <c r="P7" s="27"/>
      <c r="Q7" s="28"/>
      <c r="R7" s="43"/>
      <c r="S7" s="23"/>
      <c r="T7" s="24"/>
      <c r="U7" s="24"/>
      <c r="V7" s="25"/>
      <c r="W7" s="21"/>
      <c r="X7" s="26"/>
      <c r="Y7" s="27"/>
      <c r="Z7" s="28"/>
      <c r="AA7" s="43"/>
      <c r="AB7" s="23"/>
      <c r="AC7" s="24"/>
      <c r="AD7" s="24"/>
      <c r="AE7" s="25"/>
      <c r="AF7" s="21"/>
      <c r="AG7" s="26"/>
      <c r="AH7" s="27"/>
      <c r="AI7" s="28"/>
      <c r="AJ7" s="43"/>
      <c r="AK7" s="23"/>
      <c r="AL7" s="24"/>
      <c r="AM7" s="24"/>
      <c r="AN7" s="25"/>
      <c r="AO7" s="21"/>
      <c r="AP7" s="26"/>
      <c r="AQ7" s="27"/>
      <c r="AR7" s="28"/>
      <c r="AS7" s="43"/>
      <c r="AT7" s="43"/>
      <c r="AU7" s="43"/>
      <c r="AV7" s="43"/>
      <c r="AW7" s="43"/>
      <c r="AX7" s="43"/>
      <c r="AY7" s="43"/>
      <c r="AZ7" s="43"/>
      <c r="BA7" s="43"/>
      <c r="BB7" s="43"/>
      <c r="BC7" s="43"/>
      <c r="BD7" s="43"/>
    </row>
    <row r="8" spans="1:56" x14ac:dyDescent="0.25">
      <c r="A8" s="300" t="s">
        <v>124</v>
      </c>
      <c r="B8" s="301"/>
      <c r="C8" s="301"/>
      <c r="D8" s="301"/>
      <c r="E8" s="29"/>
      <c r="F8" s="300" t="s">
        <v>125</v>
      </c>
      <c r="G8" s="301"/>
      <c r="H8" s="302"/>
      <c r="I8" s="43"/>
      <c r="J8" s="300" t="s">
        <v>124</v>
      </c>
      <c r="K8" s="301"/>
      <c r="L8" s="301"/>
      <c r="M8" s="301"/>
      <c r="N8" s="29"/>
      <c r="O8" s="300" t="s">
        <v>125</v>
      </c>
      <c r="P8" s="301"/>
      <c r="Q8" s="302"/>
      <c r="R8" s="43"/>
      <c r="S8" s="300" t="s">
        <v>124</v>
      </c>
      <c r="T8" s="301"/>
      <c r="U8" s="301"/>
      <c r="V8" s="301"/>
      <c r="W8" s="29"/>
      <c r="X8" s="300" t="s">
        <v>125</v>
      </c>
      <c r="Y8" s="301"/>
      <c r="Z8" s="302"/>
      <c r="AA8" s="43"/>
      <c r="AB8" s="300" t="s">
        <v>124</v>
      </c>
      <c r="AC8" s="301"/>
      <c r="AD8" s="301"/>
      <c r="AE8" s="301"/>
      <c r="AF8" s="29"/>
      <c r="AG8" s="300" t="s">
        <v>125</v>
      </c>
      <c r="AH8" s="301"/>
      <c r="AI8" s="302"/>
      <c r="AJ8" s="43"/>
      <c r="AK8" s="300" t="s">
        <v>124</v>
      </c>
      <c r="AL8" s="301"/>
      <c r="AM8" s="301"/>
      <c r="AN8" s="301"/>
      <c r="AO8" s="29"/>
      <c r="AP8" s="300" t="s">
        <v>125</v>
      </c>
      <c r="AQ8" s="301"/>
      <c r="AR8" s="302"/>
      <c r="AS8" s="43"/>
      <c r="AT8" s="43"/>
      <c r="AU8" s="43"/>
      <c r="AV8" s="43"/>
      <c r="AW8" s="43"/>
      <c r="AX8" s="43"/>
      <c r="AY8" s="43"/>
      <c r="AZ8" s="43"/>
      <c r="BA8" s="43"/>
      <c r="BB8" s="43"/>
      <c r="BC8" s="43"/>
      <c r="BD8" s="43"/>
    </row>
    <row r="9" spans="1:56" x14ac:dyDescent="0.25">
      <c r="A9" s="303" t="s">
        <v>126</v>
      </c>
      <c r="B9" s="304"/>
      <c r="C9" s="304"/>
      <c r="D9" s="30">
        <f>Datos!$I$8</f>
        <v>100000</v>
      </c>
      <c r="E9" s="21"/>
      <c r="F9" s="303" t="s">
        <v>127</v>
      </c>
      <c r="G9" s="304"/>
      <c r="H9" s="31">
        <f>D9+D10+D12+Datos!$I$10</f>
        <v>1800000</v>
      </c>
      <c r="I9" s="43"/>
      <c r="J9" s="303" t="s">
        <v>126</v>
      </c>
      <c r="K9" s="304"/>
      <c r="L9" s="304"/>
      <c r="M9" s="30">
        <f>Datos!$I$8</f>
        <v>100000</v>
      </c>
      <c r="N9" s="21"/>
      <c r="O9" s="303" t="s">
        <v>127</v>
      </c>
      <c r="P9" s="304"/>
      <c r="Q9" s="31">
        <f>M9+M10+M12+Datos!$I$10</f>
        <v>1800000</v>
      </c>
      <c r="R9" s="43"/>
      <c r="S9" s="303" t="s">
        <v>126</v>
      </c>
      <c r="T9" s="304"/>
      <c r="U9" s="304"/>
      <c r="V9" s="30">
        <f>Datos!$I$8</f>
        <v>100000</v>
      </c>
      <c r="W9" s="21"/>
      <c r="X9" s="303" t="s">
        <v>127</v>
      </c>
      <c r="Y9" s="304"/>
      <c r="Z9" s="31">
        <f>V9+V10+V12+Datos!$I$10</f>
        <v>1800000</v>
      </c>
      <c r="AA9" s="43"/>
      <c r="AB9" s="303" t="s">
        <v>126</v>
      </c>
      <c r="AC9" s="304"/>
      <c r="AD9" s="304"/>
      <c r="AE9" s="30">
        <f>Datos!$I$8</f>
        <v>100000</v>
      </c>
      <c r="AF9" s="21"/>
      <c r="AG9" s="303" t="s">
        <v>127</v>
      </c>
      <c r="AH9" s="304"/>
      <c r="AI9" s="31">
        <f>AE9+AE10+AE12+Datos!$I$10</f>
        <v>1800000</v>
      </c>
      <c r="AJ9" s="43"/>
      <c r="AK9" s="303" t="s">
        <v>126</v>
      </c>
      <c r="AL9" s="304"/>
      <c r="AM9" s="304"/>
      <c r="AN9" s="30">
        <f>Datos!$I$8</f>
        <v>100000</v>
      </c>
      <c r="AO9" s="21"/>
      <c r="AP9" s="303" t="s">
        <v>127</v>
      </c>
      <c r="AQ9" s="304"/>
      <c r="AR9" s="31">
        <f>AN9+AN10+AN12+Datos!$I$10</f>
        <v>1800000</v>
      </c>
      <c r="AS9" s="43"/>
      <c r="AT9" s="43"/>
      <c r="AU9" s="43"/>
      <c r="AV9" s="43"/>
      <c r="AW9" s="43"/>
      <c r="AX9" s="43"/>
      <c r="AY9" s="43"/>
      <c r="AZ9" s="43"/>
      <c r="BA9" s="43"/>
      <c r="BB9" s="43"/>
      <c r="BC9" s="43"/>
      <c r="BD9" s="43"/>
    </row>
    <row r="10" spans="1:56" x14ac:dyDescent="0.25">
      <c r="A10" s="307" t="s">
        <v>128</v>
      </c>
      <c r="B10" s="308"/>
      <c r="C10" s="308"/>
      <c r="D10" s="30">
        <f>Datos!$I$5</f>
        <v>500000</v>
      </c>
      <c r="E10" s="32"/>
      <c r="F10" s="307" t="s">
        <v>129</v>
      </c>
      <c r="G10" s="308"/>
      <c r="H10" s="32">
        <f>'Estado de Resultados'!D22</f>
        <v>940183.90804597689</v>
      </c>
      <c r="I10" s="43"/>
      <c r="J10" s="307" t="s">
        <v>128</v>
      </c>
      <c r="K10" s="308"/>
      <c r="L10" s="308"/>
      <c r="M10" s="30">
        <f>Datos!$I$5</f>
        <v>500000</v>
      </c>
      <c r="N10" s="32"/>
      <c r="O10" s="307" t="s">
        <v>129</v>
      </c>
      <c r="P10" s="308"/>
      <c r="Q10" s="32">
        <f>'Estado de Resultados'!E22</f>
        <v>1133749.4252873573</v>
      </c>
      <c r="R10" s="43"/>
      <c r="S10" s="307" t="s">
        <v>128</v>
      </c>
      <c r="T10" s="308"/>
      <c r="U10" s="308"/>
      <c r="V10" s="30">
        <f>Datos!$I$5</f>
        <v>500000</v>
      </c>
      <c r="W10" s="32"/>
      <c r="X10" s="307" t="s">
        <v>129</v>
      </c>
      <c r="Y10" s="308"/>
      <c r="Z10" s="32">
        <f>'Estado de Resultados'!F22</f>
        <v>1341106.5080459788</v>
      </c>
      <c r="AA10" s="43"/>
      <c r="AB10" s="307" t="s">
        <v>128</v>
      </c>
      <c r="AC10" s="308"/>
      <c r="AD10" s="308"/>
      <c r="AE10" s="30">
        <f>Datos!$I$5</f>
        <v>500000</v>
      </c>
      <c r="AF10" s="32"/>
      <c r="AG10" s="307" t="s">
        <v>129</v>
      </c>
      <c r="AH10" s="308"/>
      <c r="AI10" s="32">
        <f>'Estado de Resultados'!G22</f>
        <v>1561988.8121873573</v>
      </c>
      <c r="AJ10" s="43"/>
      <c r="AK10" s="307" t="s">
        <v>128</v>
      </c>
      <c r="AL10" s="308"/>
      <c r="AM10" s="308"/>
      <c r="AN10" s="30">
        <f>Datos!$I$5</f>
        <v>500000</v>
      </c>
      <c r="AO10" s="32"/>
      <c r="AP10" s="307" t="s">
        <v>129</v>
      </c>
      <c r="AQ10" s="308"/>
      <c r="AR10" s="32">
        <f>'Estado de Resultados'!H22</f>
        <v>1795833.8203768274</v>
      </c>
      <c r="AS10" s="43"/>
      <c r="AT10" s="43"/>
      <c r="AU10" s="43"/>
      <c r="AV10" s="43"/>
      <c r="AW10" s="43"/>
      <c r="AX10" s="43"/>
      <c r="AY10" s="43"/>
      <c r="AZ10" s="43"/>
      <c r="BA10" s="43"/>
      <c r="BB10" s="43"/>
      <c r="BC10" s="43"/>
      <c r="BD10" s="43"/>
    </row>
    <row r="11" spans="1:56" x14ac:dyDescent="0.25">
      <c r="A11" s="303" t="s">
        <v>69</v>
      </c>
      <c r="B11" s="304"/>
      <c r="C11" s="304"/>
      <c r="D11" s="30">
        <f>Datos!$I$5/Datos!$I$6</f>
        <v>16666.666666666668</v>
      </c>
      <c r="E11" s="21"/>
      <c r="F11" s="33"/>
      <c r="G11" s="34"/>
      <c r="H11" s="21"/>
      <c r="I11" s="43"/>
      <c r="J11" s="303" t="s">
        <v>69</v>
      </c>
      <c r="K11" s="304"/>
      <c r="L11" s="304"/>
      <c r="M11" s="30">
        <f>Datos!$I$5/Datos!$I$6</f>
        <v>16666.666666666668</v>
      </c>
      <c r="N11" s="21"/>
      <c r="O11" s="33"/>
      <c r="P11" s="34"/>
      <c r="Q11" s="21"/>
      <c r="R11" s="43"/>
      <c r="S11" s="303" t="s">
        <v>69</v>
      </c>
      <c r="T11" s="304"/>
      <c r="U11" s="304"/>
      <c r="V11" s="30">
        <f>Datos!$I$5/Datos!$I$6</f>
        <v>16666.666666666668</v>
      </c>
      <c r="W11" s="21"/>
      <c r="X11" s="33"/>
      <c r="Y11" s="34"/>
      <c r="Z11" s="21"/>
      <c r="AA11" s="43"/>
      <c r="AB11" s="303" t="s">
        <v>69</v>
      </c>
      <c r="AC11" s="304"/>
      <c r="AD11" s="304"/>
      <c r="AE11" s="30">
        <f>Datos!$I$5/Datos!$I$6</f>
        <v>16666.666666666668</v>
      </c>
      <c r="AF11" s="21"/>
      <c r="AG11" s="33"/>
      <c r="AH11" s="34"/>
      <c r="AI11" s="21"/>
      <c r="AJ11" s="43"/>
      <c r="AK11" s="303" t="s">
        <v>69</v>
      </c>
      <c r="AL11" s="304"/>
      <c r="AM11" s="304"/>
      <c r="AN11" s="30">
        <f>Datos!$I$5/Datos!$I$6</f>
        <v>16666.666666666668</v>
      </c>
      <c r="AO11" s="21"/>
      <c r="AP11" s="33"/>
      <c r="AQ11" s="34"/>
      <c r="AR11" s="21"/>
      <c r="AS11" s="43"/>
      <c r="AT11" s="43"/>
      <c r="AU11" s="43"/>
      <c r="AV11" s="43"/>
      <c r="AW11" s="43"/>
      <c r="AX11" s="43"/>
      <c r="AY11" s="43"/>
      <c r="AZ11" s="43"/>
      <c r="BA11" s="43"/>
      <c r="BB11" s="43"/>
      <c r="BC11" s="43"/>
      <c r="BD11" s="43"/>
    </row>
    <row r="12" spans="1:56" x14ac:dyDescent="0.25">
      <c r="A12" s="303" t="s">
        <v>130</v>
      </c>
      <c r="B12" s="304"/>
      <c r="C12" s="304"/>
      <c r="D12" s="30">
        <f>Datos!$I$7</f>
        <v>1000000</v>
      </c>
      <c r="E12" s="21"/>
      <c r="F12" s="33"/>
      <c r="G12" s="30"/>
      <c r="H12" s="21"/>
      <c r="I12" s="43"/>
      <c r="J12" s="303" t="s">
        <v>130</v>
      </c>
      <c r="K12" s="304"/>
      <c r="L12" s="304"/>
      <c r="M12" s="30">
        <f>Datos!$I$7</f>
        <v>1000000</v>
      </c>
      <c r="N12" s="21"/>
      <c r="O12" s="33"/>
      <c r="P12" s="30"/>
      <c r="Q12" s="21"/>
      <c r="R12" s="43"/>
      <c r="S12" s="303" t="s">
        <v>130</v>
      </c>
      <c r="T12" s="304"/>
      <c r="U12" s="304"/>
      <c r="V12" s="30">
        <f>Datos!$I$7</f>
        <v>1000000</v>
      </c>
      <c r="W12" s="21"/>
      <c r="X12" s="33"/>
      <c r="Y12" s="30"/>
      <c r="Z12" s="21"/>
      <c r="AA12" s="43"/>
      <c r="AB12" s="303" t="s">
        <v>130</v>
      </c>
      <c r="AC12" s="304"/>
      <c r="AD12" s="304"/>
      <c r="AE12" s="30">
        <f>Datos!$I$7</f>
        <v>1000000</v>
      </c>
      <c r="AF12" s="21"/>
      <c r="AG12" s="33"/>
      <c r="AH12" s="30"/>
      <c r="AI12" s="21"/>
      <c r="AJ12" s="43"/>
      <c r="AK12" s="303" t="s">
        <v>130</v>
      </c>
      <c r="AL12" s="304"/>
      <c r="AM12" s="304"/>
      <c r="AN12" s="30">
        <f>Datos!$I$7</f>
        <v>1000000</v>
      </c>
      <c r="AO12" s="21"/>
      <c r="AP12" s="33"/>
      <c r="AQ12" s="30"/>
      <c r="AR12" s="21"/>
      <c r="AS12" s="43"/>
      <c r="AT12" s="43"/>
      <c r="AU12" s="43"/>
      <c r="AV12" s="43"/>
      <c r="AW12" s="43"/>
      <c r="AX12" s="43"/>
      <c r="AY12" s="43"/>
      <c r="AZ12" s="43"/>
      <c r="BA12" s="43"/>
      <c r="BB12" s="43"/>
      <c r="BC12" s="43"/>
      <c r="BD12" s="43"/>
    </row>
    <row r="13" spans="1:56" x14ac:dyDescent="0.25">
      <c r="A13" s="303" t="s">
        <v>69</v>
      </c>
      <c r="B13" s="304"/>
      <c r="C13" s="304"/>
      <c r="D13" s="30">
        <f>(Datos!$I$7-Datos!$I$8)/Datos!$I$9</f>
        <v>180000</v>
      </c>
      <c r="E13" s="21"/>
      <c r="F13" s="33"/>
      <c r="G13" s="30"/>
      <c r="H13" s="21"/>
      <c r="I13" s="43"/>
      <c r="J13" s="303" t="s">
        <v>69</v>
      </c>
      <c r="K13" s="304"/>
      <c r="L13" s="304"/>
      <c r="M13" s="30">
        <f>(Datos!$I$7-Datos!$I$8)/Datos!$I$9</f>
        <v>180000</v>
      </c>
      <c r="N13" s="21"/>
      <c r="O13" s="33"/>
      <c r="P13" s="30"/>
      <c r="Q13" s="21"/>
      <c r="R13" s="43"/>
      <c r="S13" s="303" t="s">
        <v>69</v>
      </c>
      <c r="T13" s="304"/>
      <c r="U13" s="304"/>
      <c r="V13" s="30">
        <f>(Datos!$I$7-Datos!$I$8)/Datos!$I$9</f>
        <v>180000</v>
      </c>
      <c r="W13" s="21"/>
      <c r="X13" s="33"/>
      <c r="Y13" s="30"/>
      <c r="Z13" s="21"/>
      <c r="AA13" s="43"/>
      <c r="AB13" s="303" t="s">
        <v>69</v>
      </c>
      <c r="AC13" s="304"/>
      <c r="AD13" s="304"/>
      <c r="AE13" s="30">
        <f>(Datos!$I$7-Datos!$I$8)/Datos!$I$9</f>
        <v>180000</v>
      </c>
      <c r="AF13" s="21"/>
      <c r="AG13" s="33"/>
      <c r="AH13" s="30"/>
      <c r="AI13" s="21"/>
      <c r="AJ13" s="43"/>
      <c r="AK13" s="303" t="s">
        <v>69</v>
      </c>
      <c r="AL13" s="304"/>
      <c r="AM13" s="304"/>
      <c r="AN13" s="30">
        <f>(Datos!$I$7-Datos!$I$8)/Datos!$I$9</f>
        <v>180000</v>
      </c>
      <c r="AO13" s="21"/>
      <c r="AP13" s="33"/>
      <c r="AQ13" s="30"/>
      <c r="AR13" s="21"/>
      <c r="AS13" s="43"/>
      <c r="AT13" s="43"/>
      <c r="AU13" s="43"/>
      <c r="AV13" s="43"/>
      <c r="AW13" s="43"/>
      <c r="AX13" s="43"/>
      <c r="AY13" s="43"/>
      <c r="AZ13" s="43"/>
      <c r="BA13" s="43"/>
      <c r="BB13" s="43"/>
      <c r="BC13" s="43"/>
      <c r="BD13" s="43"/>
    </row>
    <row r="14" spans="1:56" x14ac:dyDescent="0.25">
      <c r="A14" s="298" t="s">
        <v>131</v>
      </c>
      <c r="B14" s="299"/>
      <c r="C14" s="299"/>
      <c r="D14" s="35">
        <f>D9+D10+D12-D11-D13</f>
        <v>1403333.3333333333</v>
      </c>
      <c r="E14" s="21"/>
      <c r="F14" s="298" t="s">
        <v>132</v>
      </c>
      <c r="G14" s="299"/>
      <c r="H14" s="36">
        <f>H9+H10</f>
        <v>2740183.9080459769</v>
      </c>
      <c r="I14" s="43"/>
      <c r="J14" s="298" t="s">
        <v>131</v>
      </c>
      <c r="K14" s="299"/>
      <c r="L14" s="299"/>
      <c r="M14" s="35">
        <f>M9+M10+M12-M11-M13</f>
        <v>1403333.3333333333</v>
      </c>
      <c r="N14" s="21"/>
      <c r="O14" s="298" t="s">
        <v>132</v>
      </c>
      <c r="P14" s="299"/>
      <c r="Q14" s="36">
        <f>Q9+Q10</f>
        <v>2933749.4252873575</v>
      </c>
      <c r="R14" s="43"/>
      <c r="S14" s="298" t="s">
        <v>131</v>
      </c>
      <c r="T14" s="299"/>
      <c r="U14" s="299"/>
      <c r="V14" s="35">
        <f>V9+V10+V12-V11-V13</f>
        <v>1403333.3333333333</v>
      </c>
      <c r="W14" s="21"/>
      <c r="X14" s="298" t="s">
        <v>132</v>
      </c>
      <c r="Y14" s="299"/>
      <c r="Z14" s="36">
        <f>Z9+Z10</f>
        <v>3141106.5080459788</v>
      </c>
      <c r="AA14" s="43"/>
      <c r="AB14" s="298" t="s">
        <v>131</v>
      </c>
      <c r="AC14" s="299"/>
      <c r="AD14" s="299"/>
      <c r="AE14" s="35">
        <f>AE9+AE10+AE12-AE11-AE13</f>
        <v>1403333.3333333333</v>
      </c>
      <c r="AF14" s="21"/>
      <c r="AG14" s="298" t="s">
        <v>132</v>
      </c>
      <c r="AH14" s="299"/>
      <c r="AI14" s="36">
        <f>AI9+AI10</f>
        <v>3361988.8121873573</v>
      </c>
      <c r="AJ14" s="43"/>
      <c r="AK14" s="298" t="s">
        <v>131</v>
      </c>
      <c r="AL14" s="299"/>
      <c r="AM14" s="299"/>
      <c r="AN14" s="35">
        <f>AN9+AN10+AN12-AN11-AN13</f>
        <v>1403333.3333333333</v>
      </c>
      <c r="AO14" s="21"/>
      <c r="AP14" s="298" t="s">
        <v>132</v>
      </c>
      <c r="AQ14" s="299"/>
      <c r="AR14" s="36">
        <f>AR9+AR10</f>
        <v>3595833.8203768274</v>
      </c>
      <c r="AS14" s="43"/>
      <c r="AT14" s="43"/>
      <c r="AU14" s="43"/>
      <c r="AV14" s="43"/>
      <c r="AW14" s="43"/>
      <c r="AX14" s="43"/>
      <c r="AY14" s="43"/>
      <c r="AZ14" s="43"/>
      <c r="BA14" s="43"/>
      <c r="BB14" s="43"/>
      <c r="BC14" s="43"/>
      <c r="BD14" s="43"/>
    </row>
    <row r="15" spans="1:56" x14ac:dyDescent="0.25">
      <c r="A15" s="37"/>
      <c r="B15" s="38"/>
      <c r="C15" s="38"/>
      <c r="D15" s="39"/>
      <c r="E15" s="29"/>
      <c r="F15" s="26"/>
      <c r="G15" s="39"/>
      <c r="H15" s="29"/>
      <c r="I15" s="43"/>
      <c r="J15" s="37"/>
      <c r="K15" s="38"/>
      <c r="L15" s="38"/>
      <c r="M15" s="39"/>
      <c r="N15" s="29"/>
      <c r="O15" s="26"/>
      <c r="P15" s="39"/>
      <c r="Q15" s="29"/>
      <c r="R15" s="43"/>
      <c r="S15" s="37"/>
      <c r="T15" s="38"/>
      <c r="U15" s="38"/>
      <c r="V15" s="39"/>
      <c r="W15" s="29"/>
      <c r="X15" s="26"/>
      <c r="Y15" s="39"/>
      <c r="Z15" s="29"/>
      <c r="AA15" s="43"/>
      <c r="AB15" s="37"/>
      <c r="AC15" s="38"/>
      <c r="AD15" s="38"/>
      <c r="AE15" s="39"/>
      <c r="AF15" s="29"/>
      <c r="AG15" s="26"/>
      <c r="AH15" s="39"/>
      <c r="AI15" s="29"/>
      <c r="AJ15" s="43"/>
      <c r="AK15" s="37"/>
      <c r="AL15" s="38"/>
      <c r="AM15" s="38"/>
      <c r="AN15" s="39"/>
      <c r="AO15" s="29"/>
      <c r="AP15" s="26"/>
      <c r="AQ15" s="39"/>
      <c r="AR15" s="29"/>
      <c r="AS15" s="43"/>
      <c r="AT15" s="43"/>
      <c r="AU15" s="43"/>
      <c r="AV15" s="43"/>
      <c r="AW15" s="43"/>
      <c r="AX15" s="43"/>
      <c r="AY15" s="43"/>
      <c r="AZ15" s="43"/>
      <c r="BA15" s="43"/>
      <c r="BB15" s="43"/>
      <c r="BC15" s="43"/>
      <c r="BD15" s="43"/>
    </row>
    <row r="16" spans="1:56" x14ac:dyDescent="0.25">
      <c r="A16" s="305" t="s">
        <v>133</v>
      </c>
      <c r="B16" s="306"/>
      <c r="C16" s="306"/>
      <c r="D16" s="40">
        <f>D6+D14</f>
        <v>2740183.9080459764</v>
      </c>
      <c r="E16" s="17"/>
      <c r="F16" s="41" t="s">
        <v>134</v>
      </c>
      <c r="G16" s="40"/>
      <c r="H16" s="42">
        <f>H14</f>
        <v>2740183.9080459769</v>
      </c>
      <c r="I16" s="43"/>
      <c r="J16" s="305" t="s">
        <v>133</v>
      </c>
      <c r="K16" s="306"/>
      <c r="L16" s="306"/>
      <c r="M16" s="40">
        <f>M6+M14</f>
        <v>2933749.4252873575</v>
      </c>
      <c r="N16" s="17"/>
      <c r="O16" s="41" t="s">
        <v>134</v>
      </c>
      <c r="P16" s="40"/>
      <c r="Q16" s="42">
        <f>Q14</f>
        <v>2933749.4252873575</v>
      </c>
      <c r="R16" s="43"/>
      <c r="S16" s="305" t="s">
        <v>133</v>
      </c>
      <c r="T16" s="306"/>
      <c r="U16" s="306"/>
      <c r="V16" s="40">
        <f>V6+V14</f>
        <v>3141106.5080459788</v>
      </c>
      <c r="W16" s="17"/>
      <c r="X16" s="41" t="s">
        <v>134</v>
      </c>
      <c r="Y16" s="40"/>
      <c r="Z16" s="42">
        <f>Z14</f>
        <v>3141106.5080459788</v>
      </c>
      <c r="AA16" s="43"/>
      <c r="AB16" s="305" t="s">
        <v>133</v>
      </c>
      <c r="AC16" s="306"/>
      <c r="AD16" s="306"/>
      <c r="AE16" s="40">
        <f>AE6+AE14</f>
        <v>3361988.8121873573</v>
      </c>
      <c r="AF16" s="17"/>
      <c r="AG16" s="41" t="s">
        <v>134</v>
      </c>
      <c r="AH16" s="40"/>
      <c r="AI16" s="42">
        <f>AI14</f>
        <v>3361988.8121873573</v>
      </c>
      <c r="AJ16" s="43"/>
      <c r="AK16" s="305" t="s">
        <v>133</v>
      </c>
      <c r="AL16" s="306"/>
      <c r="AM16" s="306"/>
      <c r="AN16" s="40">
        <f>AN6+AN14</f>
        <v>3595833.8203768274</v>
      </c>
      <c r="AO16" s="17"/>
      <c r="AP16" s="41" t="s">
        <v>134</v>
      </c>
      <c r="AQ16" s="40"/>
      <c r="AR16" s="42">
        <f>AR14</f>
        <v>3595833.8203768274</v>
      </c>
      <c r="AS16" s="43"/>
      <c r="AT16" s="43"/>
      <c r="AU16" s="43"/>
      <c r="AV16" s="43"/>
      <c r="AW16" s="43"/>
      <c r="AX16" s="43"/>
      <c r="AY16" s="43"/>
      <c r="AZ16" s="43"/>
      <c r="BA16" s="43"/>
      <c r="BB16" s="43"/>
      <c r="BC16" s="43"/>
      <c r="BD16" s="43"/>
    </row>
    <row r="17" spans="1:56" x14ac:dyDescent="0.25">
      <c r="A17" s="43"/>
      <c r="B17" s="43"/>
      <c r="C17" s="43"/>
      <c r="D17" s="43"/>
      <c r="E17" s="43"/>
      <c r="F17" s="43"/>
      <c r="G17" s="43"/>
      <c r="H17" s="43"/>
      <c r="I17" s="43"/>
      <c r="J17" s="43"/>
      <c r="K17" s="43"/>
      <c r="L17" s="43"/>
      <c r="M17" s="43"/>
      <c r="N17" s="43"/>
      <c r="O17" s="43"/>
      <c r="P17" s="43"/>
      <c r="Q17" s="43"/>
      <c r="R17" s="43"/>
      <c r="S17" s="43"/>
      <c r="T17" s="43"/>
      <c r="U17" s="43"/>
      <c r="V17" s="43"/>
      <c r="W17" s="43"/>
      <c r="X17" s="43"/>
      <c r="Y17" s="43"/>
      <c r="Z17" s="43"/>
      <c r="AA17" s="43"/>
      <c r="AB17" s="43"/>
      <c r="AC17" s="43"/>
      <c r="AD17" s="43"/>
      <c r="AE17" s="43"/>
      <c r="AF17" s="43"/>
      <c r="AG17" s="43"/>
      <c r="AH17" s="43"/>
      <c r="AI17" s="43"/>
      <c r="AJ17" s="43"/>
      <c r="AK17" s="43"/>
      <c r="AL17" s="43"/>
      <c r="AM17" s="43"/>
      <c r="AN17" s="43"/>
      <c r="AO17" s="43"/>
      <c r="AP17" s="43"/>
      <c r="AQ17" s="43"/>
      <c r="AR17" s="43"/>
      <c r="AS17" s="43"/>
      <c r="AT17" s="43"/>
      <c r="AU17" s="43"/>
      <c r="AV17" s="43"/>
      <c r="AW17" s="43"/>
      <c r="AX17" s="43"/>
      <c r="AY17" s="43"/>
      <c r="AZ17" s="43"/>
      <c r="BA17" s="43"/>
      <c r="BB17" s="43"/>
      <c r="BC17" s="43"/>
      <c r="BD17" s="43"/>
    </row>
    <row r="18" spans="1:56" x14ac:dyDescent="0.25">
      <c r="A18" s="43"/>
      <c r="B18" s="43"/>
      <c r="C18" s="43"/>
      <c r="D18" s="43"/>
      <c r="E18" s="43"/>
      <c r="F18" s="43"/>
      <c r="G18" s="43"/>
      <c r="H18" s="43"/>
      <c r="I18" s="43"/>
      <c r="R18" s="43"/>
      <c r="AA18" s="43"/>
      <c r="AJ18" s="43"/>
      <c r="AS18" s="43"/>
      <c r="AT18" s="43"/>
      <c r="AU18" s="43"/>
      <c r="AV18" s="43"/>
      <c r="AW18" s="43"/>
      <c r="AX18" s="43"/>
      <c r="AY18" s="43"/>
      <c r="AZ18" s="43"/>
      <c r="BA18" s="43"/>
      <c r="BB18" s="43"/>
      <c r="BC18" s="43"/>
      <c r="BD18" s="43"/>
    </row>
    <row r="19" spans="1:56" x14ac:dyDescent="0.25">
      <c r="A19" s="43"/>
      <c r="B19" s="43"/>
      <c r="C19" s="43"/>
      <c r="D19" s="43"/>
      <c r="E19" s="43"/>
      <c r="F19" s="43"/>
      <c r="G19" s="43"/>
      <c r="H19" s="43"/>
      <c r="I19" s="43"/>
      <c r="J19" s="43"/>
      <c r="K19" s="43"/>
      <c r="L19" s="43"/>
      <c r="M19" s="43"/>
      <c r="N19" s="43"/>
      <c r="O19" s="43"/>
      <c r="P19" s="43"/>
      <c r="Q19" s="43"/>
      <c r="R19" s="43"/>
      <c r="S19" s="43"/>
      <c r="T19" s="43"/>
      <c r="U19" s="43"/>
      <c r="V19" s="43"/>
      <c r="W19" s="43"/>
      <c r="X19" s="43"/>
      <c r="Y19" s="43"/>
      <c r="Z19" s="43"/>
      <c r="AA19" s="43"/>
      <c r="AB19" s="43"/>
      <c r="AC19" s="43"/>
      <c r="AD19" s="43"/>
      <c r="AE19" s="43"/>
      <c r="AF19" s="43"/>
      <c r="AG19" s="43"/>
      <c r="AH19" s="43"/>
      <c r="AI19" s="43"/>
      <c r="AJ19" s="43"/>
      <c r="AK19" s="43"/>
      <c r="AL19" s="43"/>
      <c r="AM19" s="43"/>
      <c r="AN19" s="43"/>
      <c r="AO19" s="43"/>
      <c r="AP19" s="43"/>
      <c r="AQ19" s="43"/>
      <c r="AR19" s="43"/>
      <c r="AS19" s="43"/>
      <c r="AT19" s="43"/>
      <c r="AU19" s="43"/>
      <c r="AV19" s="43"/>
      <c r="AW19" s="43"/>
      <c r="AX19" s="43"/>
      <c r="AY19" s="43"/>
      <c r="AZ19" s="43"/>
      <c r="BA19" s="43"/>
      <c r="BB19" s="43"/>
      <c r="BC19" s="43"/>
      <c r="BD19" s="43"/>
    </row>
    <row r="20" spans="1:56" x14ac:dyDescent="0.25">
      <c r="A20" s="43"/>
      <c r="B20" s="43"/>
      <c r="C20" s="43"/>
      <c r="D20" s="43"/>
      <c r="E20" s="43"/>
      <c r="F20" s="43"/>
      <c r="G20" s="43"/>
      <c r="H20" s="43"/>
      <c r="I20" s="43"/>
      <c r="J20" s="43"/>
      <c r="K20" s="43"/>
      <c r="L20" s="43"/>
      <c r="M20" s="43"/>
      <c r="N20" s="43"/>
      <c r="O20" s="43"/>
      <c r="P20" s="43"/>
      <c r="Q20" s="43"/>
      <c r="R20" s="43"/>
      <c r="S20" s="43"/>
      <c r="T20" s="43"/>
      <c r="U20" s="43"/>
      <c r="V20" s="43"/>
      <c r="W20" s="43"/>
      <c r="X20" s="43"/>
      <c r="Y20" s="43"/>
      <c r="Z20" s="43"/>
      <c r="AA20" s="43"/>
      <c r="AB20" s="43"/>
      <c r="AC20" s="43"/>
      <c r="AD20" s="43"/>
      <c r="AE20" s="43"/>
      <c r="AF20" s="43"/>
      <c r="AG20" s="43"/>
      <c r="AH20" s="43"/>
      <c r="AI20" s="43"/>
      <c r="AJ20" s="43"/>
      <c r="AK20" s="43"/>
      <c r="AL20" s="43"/>
      <c r="AM20" s="43"/>
      <c r="AN20" s="43"/>
      <c r="AO20" s="43"/>
      <c r="AP20" s="43"/>
      <c r="AQ20" s="43"/>
      <c r="AR20" s="43"/>
      <c r="AS20" s="43"/>
      <c r="AT20" s="43"/>
      <c r="AU20" s="43"/>
      <c r="AV20" s="43"/>
      <c r="AW20" s="43"/>
      <c r="AX20" s="43"/>
      <c r="AY20" s="43"/>
      <c r="AZ20" s="43"/>
      <c r="BA20" s="43"/>
      <c r="BB20" s="43"/>
      <c r="BC20" s="43"/>
      <c r="BD20" s="43"/>
    </row>
    <row r="21" spans="1:56" x14ac:dyDescent="0.25">
      <c r="A21" s="43"/>
      <c r="B21" s="43"/>
      <c r="C21" s="43"/>
      <c r="D21" s="43"/>
      <c r="E21" s="43"/>
      <c r="F21" s="43"/>
      <c r="G21" s="43"/>
      <c r="H21" s="43"/>
      <c r="I21" s="43"/>
      <c r="J21" s="43"/>
      <c r="K21" s="43"/>
      <c r="L21" s="43"/>
      <c r="M21" s="43"/>
      <c r="N21" s="43"/>
      <c r="O21" s="43"/>
      <c r="P21" s="43"/>
      <c r="Q21" s="43"/>
      <c r="R21" s="43"/>
      <c r="S21" s="43"/>
      <c r="T21" s="43"/>
      <c r="U21" s="43"/>
      <c r="V21" s="43"/>
      <c r="W21" s="43"/>
      <c r="X21" s="43"/>
      <c r="Y21" s="43"/>
      <c r="Z21" s="43"/>
      <c r="AA21" s="43"/>
      <c r="AB21" s="43"/>
      <c r="AC21" s="43"/>
      <c r="AD21" s="43"/>
      <c r="AE21" s="43"/>
      <c r="AF21" s="43"/>
      <c r="AG21" s="43"/>
      <c r="AH21" s="43"/>
      <c r="AI21" s="43"/>
      <c r="AJ21" s="43"/>
      <c r="AK21" s="43"/>
      <c r="AL21" s="43"/>
      <c r="AM21" s="43"/>
      <c r="AN21" s="43"/>
      <c r="AO21" s="43"/>
      <c r="AP21" s="43"/>
      <c r="AQ21" s="43"/>
      <c r="AR21" s="43"/>
      <c r="AS21" s="43"/>
      <c r="AT21" s="43"/>
      <c r="AU21" s="43"/>
      <c r="AV21" s="43"/>
      <c r="AW21" s="43"/>
      <c r="AX21" s="43"/>
      <c r="AY21" s="43"/>
      <c r="AZ21" s="43"/>
      <c r="BA21" s="43"/>
      <c r="BB21" s="43"/>
      <c r="BC21" s="43"/>
      <c r="BD21" s="43"/>
    </row>
    <row r="22" spans="1:56" x14ac:dyDescent="0.25">
      <c r="A22" s="292" t="s">
        <v>139</v>
      </c>
      <c r="B22" s="292"/>
      <c r="C22" s="292"/>
      <c r="D22" s="292"/>
      <c r="E22" s="292"/>
      <c r="F22" s="292"/>
      <c r="G22" s="292"/>
      <c r="H22" s="292"/>
      <c r="I22" s="43"/>
      <c r="J22" s="292" t="s">
        <v>140</v>
      </c>
      <c r="K22" s="292"/>
      <c r="L22" s="292"/>
      <c r="M22" s="292"/>
      <c r="N22" s="292"/>
      <c r="O22" s="292"/>
      <c r="P22" s="292"/>
      <c r="Q22" s="292"/>
      <c r="R22" s="43"/>
      <c r="S22" s="292" t="s">
        <v>141</v>
      </c>
      <c r="T22" s="292"/>
      <c r="U22" s="292"/>
      <c r="V22" s="292"/>
      <c r="W22" s="292"/>
      <c r="X22" s="292"/>
      <c r="Y22" s="292"/>
      <c r="Z22" s="292"/>
      <c r="AA22" s="43"/>
      <c r="AB22" s="292" t="s">
        <v>142</v>
      </c>
      <c r="AC22" s="292"/>
      <c r="AD22" s="292"/>
      <c r="AE22" s="292"/>
      <c r="AF22" s="292"/>
      <c r="AG22" s="292"/>
      <c r="AH22" s="292"/>
      <c r="AI22" s="292"/>
      <c r="AJ22" s="43"/>
      <c r="AK22" s="292" t="s">
        <v>143</v>
      </c>
      <c r="AL22" s="292"/>
      <c r="AM22" s="292"/>
      <c r="AN22" s="292"/>
      <c r="AO22" s="292"/>
      <c r="AP22" s="292"/>
      <c r="AQ22" s="292"/>
      <c r="AR22" s="292"/>
      <c r="AS22" s="43"/>
      <c r="AT22" s="43"/>
      <c r="AU22" s="43"/>
      <c r="AV22" s="43"/>
      <c r="AW22" s="43"/>
      <c r="AX22" s="43"/>
      <c r="AY22" s="43"/>
      <c r="AZ22" s="43"/>
      <c r="BA22" s="43"/>
      <c r="BB22" s="43"/>
      <c r="BC22" s="43"/>
      <c r="BD22" s="43"/>
    </row>
    <row r="23" spans="1:56" x14ac:dyDescent="0.25">
      <c r="A23" s="12"/>
      <c r="B23" s="13"/>
      <c r="C23" s="13"/>
      <c r="D23" s="13"/>
      <c r="E23" s="14"/>
      <c r="F23" s="15"/>
      <c r="G23" s="16"/>
      <c r="H23" s="14"/>
      <c r="I23" s="43"/>
      <c r="J23" s="12"/>
      <c r="K23" s="13"/>
      <c r="L23" s="13"/>
      <c r="M23" s="13"/>
      <c r="N23" s="14"/>
      <c r="O23" s="15"/>
      <c r="P23" s="16"/>
      <c r="Q23" s="14"/>
      <c r="R23" s="43"/>
      <c r="S23" s="12"/>
      <c r="T23" s="13"/>
      <c r="U23" s="13"/>
      <c r="V23" s="13"/>
      <c r="W23" s="14"/>
      <c r="X23" s="15"/>
      <c r="Y23" s="16"/>
      <c r="Z23" s="14"/>
      <c r="AA23" s="43"/>
      <c r="AB23" s="12"/>
      <c r="AC23" s="13"/>
      <c r="AD23" s="13"/>
      <c r="AE23" s="13"/>
      <c r="AF23" s="14"/>
      <c r="AG23" s="15"/>
      <c r="AH23" s="16"/>
      <c r="AI23" s="14"/>
      <c r="AJ23" s="43"/>
      <c r="AK23" s="12"/>
      <c r="AL23" s="13"/>
      <c r="AM23" s="13"/>
      <c r="AN23" s="13"/>
      <c r="AO23" s="14"/>
      <c r="AP23" s="15"/>
      <c r="AQ23" s="16"/>
      <c r="AR23" s="14"/>
      <c r="AS23" s="43"/>
      <c r="AT23" s="43"/>
      <c r="AU23" s="43"/>
      <c r="AV23" s="43"/>
      <c r="AW23" s="43"/>
      <c r="AX23" s="43"/>
      <c r="AY23" s="43"/>
      <c r="AZ23" s="43"/>
      <c r="BA23" s="43"/>
      <c r="BB23" s="43"/>
      <c r="BC23" s="43"/>
      <c r="BD23" s="43"/>
    </row>
    <row r="24" spans="1:56" x14ac:dyDescent="0.25">
      <c r="A24" s="293" t="s">
        <v>119</v>
      </c>
      <c r="B24" s="294"/>
      <c r="C24" s="294"/>
      <c r="D24" s="294"/>
      <c r="E24" s="17"/>
      <c r="F24" s="293" t="s">
        <v>120</v>
      </c>
      <c r="G24" s="294"/>
      <c r="H24" s="295"/>
      <c r="I24" s="43"/>
      <c r="J24" s="293" t="s">
        <v>119</v>
      </c>
      <c r="K24" s="294"/>
      <c r="L24" s="294"/>
      <c r="M24" s="294"/>
      <c r="N24" s="17"/>
      <c r="O24" s="293" t="s">
        <v>120</v>
      </c>
      <c r="P24" s="294"/>
      <c r="Q24" s="295"/>
      <c r="R24" s="43"/>
      <c r="S24" s="293" t="s">
        <v>119</v>
      </c>
      <c r="T24" s="294"/>
      <c r="U24" s="294"/>
      <c r="V24" s="294"/>
      <c r="W24" s="17"/>
      <c r="X24" s="293" t="s">
        <v>120</v>
      </c>
      <c r="Y24" s="294"/>
      <c r="Z24" s="295"/>
      <c r="AA24" s="43"/>
      <c r="AB24" s="293" t="s">
        <v>119</v>
      </c>
      <c r="AC24" s="294"/>
      <c r="AD24" s="294"/>
      <c r="AE24" s="294"/>
      <c r="AF24" s="17"/>
      <c r="AG24" s="293" t="s">
        <v>120</v>
      </c>
      <c r="AH24" s="294"/>
      <c r="AI24" s="295"/>
      <c r="AJ24" s="43"/>
      <c r="AK24" s="293" t="s">
        <v>119</v>
      </c>
      <c r="AL24" s="294"/>
      <c r="AM24" s="294"/>
      <c r="AN24" s="294"/>
      <c r="AO24" s="17"/>
      <c r="AP24" s="293" t="s">
        <v>120</v>
      </c>
      <c r="AQ24" s="294"/>
      <c r="AR24" s="295"/>
      <c r="AS24" s="43"/>
      <c r="AT24" s="43"/>
      <c r="AU24" s="43"/>
      <c r="AV24" s="43"/>
      <c r="AW24" s="43"/>
      <c r="AX24" s="43"/>
      <c r="AY24" s="43"/>
      <c r="AZ24" s="43"/>
      <c r="BA24" s="43"/>
      <c r="BB24" s="43"/>
      <c r="BC24" s="43"/>
      <c r="BD24" s="43"/>
    </row>
    <row r="25" spans="1:56" ht="15.75" thickBot="1" x14ac:dyDescent="0.3">
      <c r="A25" s="296" t="s">
        <v>121</v>
      </c>
      <c r="B25" s="297"/>
      <c r="C25" s="297"/>
      <c r="D25" s="18">
        <f>H30+D31+D33+Datos!$I$10</f>
        <v>2301716.7864932483</v>
      </c>
      <c r="E25" s="14"/>
      <c r="F25" s="12"/>
      <c r="G25" s="13"/>
      <c r="H25" s="19">
        <v>0</v>
      </c>
      <c r="I25" s="43"/>
      <c r="J25" s="296" t="s">
        <v>121</v>
      </c>
      <c r="K25" s="297"/>
      <c r="L25" s="297"/>
      <c r="M25" s="18">
        <f>Q30+M31+M33+Datos!$I$10</f>
        <v>2226426.4978019847</v>
      </c>
      <c r="N25" s="14"/>
      <c r="O25" s="12"/>
      <c r="P25" s="13"/>
      <c r="Q25" s="19">
        <v>0</v>
      </c>
      <c r="R25" s="43"/>
      <c r="S25" s="296" t="s">
        <v>121</v>
      </c>
      <c r="T25" s="297"/>
      <c r="U25" s="297"/>
      <c r="V25" s="18">
        <f>Z30+V31+V33+Datos!$I$10</f>
        <v>2143293.3859440992</v>
      </c>
      <c r="W25" s="14"/>
      <c r="X25" s="12"/>
      <c r="Y25" s="13"/>
      <c r="Z25" s="19">
        <v>0</v>
      </c>
      <c r="AA25" s="43"/>
      <c r="AB25" s="296" t="s">
        <v>121</v>
      </c>
      <c r="AC25" s="297"/>
      <c r="AD25" s="297"/>
      <c r="AE25" s="18">
        <f>AI30+AE31+AE33+Datos!$I$10</f>
        <v>2048921.8877644448</v>
      </c>
      <c r="AF25" s="14"/>
      <c r="AG25" s="12"/>
      <c r="AH25" s="13"/>
      <c r="AI25" s="19">
        <v>0</v>
      </c>
      <c r="AJ25" s="43"/>
      <c r="AK25" s="296" t="s">
        <v>121</v>
      </c>
      <c r="AL25" s="297"/>
      <c r="AM25" s="297"/>
      <c r="AN25" s="18">
        <f>AR30+AN31+AN33+Datos!$I$10</f>
        <v>1939091.950473638</v>
      </c>
      <c r="AO25" s="14"/>
      <c r="AP25" s="12"/>
      <c r="AQ25" s="13"/>
      <c r="AR25" s="19">
        <v>0</v>
      </c>
      <c r="AS25" s="43"/>
      <c r="AT25" s="43"/>
      <c r="AU25" s="43"/>
      <c r="AV25" s="43"/>
      <c r="AW25" s="43"/>
      <c r="AX25" s="43"/>
      <c r="AY25" s="43"/>
      <c r="AZ25" s="43"/>
      <c r="BA25" s="43"/>
      <c r="BB25" s="43"/>
      <c r="BC25" s="43"/>
      <c r="BD25" s="43"/>
    </row>
    <row r="26" spans="1:56" x14ac:dyDescent="0.25">
      <c r="A26" s="298" t="s">
        <v>122</v>
      </c>
      <c r="B26" s="299"/>
      <c r="C26" s="299"/>
      <c r="D26" s="20">
        <f>D25</f>
        <v>2301716.7864932483</v>
      </c>
      <c r="E26" s="21"/>
      <c r="F26" s="298" t="s">
        <v>123</v>
      </c>
      <c r="G26" s="299"/>
      <c r="H26" s="22">
        <f>H24</f>
        <v>0</v>
      </c>
      <c r="I26" s="43"/>
      <c r="J26" s="298" t="s">
        <v>122</v>
      </c>
      <c r="K26" s="299"/>
      <c r="L26" s="299"/>
      <c r="M26" s="20">
        <f>M25</f>
        <v>2226426.4978019847</v>
      </c>
      <c r="N26" s="21"/>
      <c r="O26" s="298" t="s">
        <v>123</v>
      </c>
      <c r="P26" s="299"/>
      <c r="Q26" s="22">
        <f>Q24</f>
        <v>0</v>
      </c>
      <c r="R26" s="43"/>
      <c r="S26" s="298" t="s">
        <v>122</v>
      </c>
      <c r="T26" s="299"/>
      <c r="U26" s="299"/>
      <c r="V26" s="20">
        <f>V25</f>
        <v>2143293.3859440992</v>
      </c>
      <c r="W26" s="21"/>
      <c r="X26" s="298" t="s">
        <v>123</v>
      </c>
      <c r="Y26" s="299"/>
      <c r="Z26" s="22">
        <f>Z24</f>
        <v>0</v>
      </c>
      <c r="AA26" s="43"/>
      <c r="AB26" s="298" t="s">
        <v>122</v>
      </c>
      <c r="AC26" s="299"/>
      <c r="AD26" s="299"/>
      <c r="AE26" s="20">
        <f>AE25</f>
        <v>2048921.8877644448</v>
      </c>
      <c r="AF26" s="21"/>
      <c r="AG26" s="298" t="s">
        <v>123</v>
      </c>
      <c r="AH26" s="299"/>
      <c r="AI26" s="22">
        <f>AI24</f>
        <v>0</v>
      </c>
      <c r="AJ26" s="43"/>
      <c r="AK26" s="298" t="s">
        <v>122</v>
      </c>
      <c r="AL26" s="299"/>
      <c r="AM26" s="299"/>
      <c r="AN26" s="20">
        <f>AN25</f>
        <v>1939091.950473638</v>
      </c>
      <c r="AO26" s="21"/>
      <c r="AP26" s="298" t="s">
        <v>123</v>
      </c>
      <c r="AQ26" s="299"/>
      <c r="AR26" s="22">
        <f>AR24</f>
        <v>0</v>
      </c>
      <c r="AS26" s="43"/>
      <c r="AT26" s="43"/>
      <c r="AU26" s="43"/>
      <c r="AV26" s="43"/>
      <c r="AW26" s="43"/>
      <c r="AX26" s="43"/>
      <c r="AY26" s="43"/>
      <c r="AZ26" s="43"/>
      <c r="BA26" s="43"/>
      <c r="BB26" s="43"/>
      <c r="BC26" s="43"/>
      <c r="BD26" s="43"/>
    </row>
    <row r="27" spans="1:56" x14ac:dyDescent="0.25">
      <c r="A27" s="23"/>
      <c r="B27" s="24"/>
      <c r="C27" s="24"/>
      <c r="D27" s="25"/>
      <c r="E27" s="21"/>
      <c r="F27" s="26"/>
      <c r="G27" s="27"/>
      <c r="H27" s="28"/>
      <c r="I27" s="43"/>
      <c r="J27" s="23"/>
      <c r="K27" s="24"/>
      <c r="L27" s="24"/>
      <c r="M27" s="25"/>
      <c r="N27" s="21"/>
      <c r="O27" s="26"/>
      <c r="P27" s="27"/>
      <c r="Q27" s="28"/>
      <c r="R27" s="43"/>
      <c r="S27" s="23"/>
      <c r="T27" s="24"/>
      <c r="U27" s="24"/>
      <c r="V27" s="25"/>
      <c r="W27" s="21"/>
      <c r="X27" s="26"/>
      <c r="Y27" s="27"/>
      <c r="Z27" s="28"/>
      <c r="AA27" s="43"/>
      <c r="AB27" s="23"/>
      <c r="AC27" s="24"/>
      <c r="AD27" s="24"/>
      <c r="AE27" s="25"/>
      <c r="AF27" s="21"/>
      <c r="AG27" s="26"/>
      <c r="AH27" s="27"/>
      <c r="AI27" s="28"/>
      <c r="AJ27" s="43"/>
      <c r="AK27" s="23"/>
      <c r="AL27" s="24"/>
      <c r="AM27" s="24"/>
      <c r="AN27" s="25"/>
      <c r="AO27" s="21"/>
      <c r="AP27" s="26"/>
      <c r="AQ27" s="27"/>
      <c r="AR27" s="28"/>
      <c r="AS27" s="43"/>
      <c r="AT27" s="43"/>
      <c r="AU27" s="43"/>
      <c r="AV27" s="43"/>
      <c r="AW27" s="43"/>
      <c r="AX27" s="43"/>
      <c r="AY27" s="43"/>
      <c r="AZ27" s="43"/>
      <c r="BA27" s="43"/>
      <c r="BB27" s="43"/>
      <c r="BC27" s="43"/>
      <c r="BD27" s="43"/>
    </row>
    <row r="28" spans="1:56" x14ac:dyDescent="0.25">
      <c r="A28" s="300" t="s">
        <v>124</v>
      </c>
      <c r="B28" s="301"/>
      <c r="C28" s="301"/>
      <c r="D28" s="301"/>
      <c r="E28" s="29"/>
      <c r="F28" s="300" t="s">
        <v>125</v>
      </c>
      <c r="G28" s="301"/>
      <c r="H28" s="302"/>
      <c r="I28" s="43"/>
      <c r="J28" s="300" t="s">
        <v>124</v>
      </c>
      <c r="K28" s="301"/>
      <c r="L28" s="301"/>
      <c r="M28" s="301"/>
      <c r="N28" s="29"/>
      <c r="O28" s="300" t="s">
        <v>125</v>
      </c>
      <c r="P28" s="301"/>
      <c r="Q28" s="302"/>
      <c r="R28" s="43"/>
      <c r="S28" s="300" t="s">
        <v>124</v>
      </c>
      <c r="T28" s="301"/>
      <c r="U28" s="301"/>
      <c r="V28" s="301"/>
      <c r="W28" s="29"/>
      <c r="X28" s="300" t="s">
        <v>125</v>
      </c>
      <c r="Y28" s="301"/>
      <c r="Z28" s="302"/>
      <c r="AA28" s="43"/>
      <c r="AB28" s="300" t="s">
        <v>124</v>
      </c>
      <c r="AC28" s="301"/>
      <c r="AD28" s="301"/>
      <c r="AE28" s="301"/>
      <c r="AF28" s="29"/>
      <c r="AG28" s="300" t="s">
        <v>125</v>
      </c>
      <c r="AH28" s="301"/>
      <c r="AI28" s="302"/>
      <c r="AJ28" s="43"/>
      <c r="AK28" s="300" t="s">
        <v>124</v>
      </c>
      <c r="AL28" s="301"/>
      <c r="AM28" s="301"/>
      <c r="AN28" s="301"/>
      <c r="AO28" s="29"/>
      <c r="AP28" s="300" t="s">
        <v>125</v>
      </c>
      <c r="AQ28" s="301"/>
      <c r="AR28" s="302"/>
      <c r="AS28" s="43"/>
      <c r="AT28" s="43"/>
      <c r="AU28" s="43"/>
      <c r="AV28" s="43"/>
      <c r="AW28" s="43"/>
      <c r="AX28" s="43"/>
      <c r="AY28" s="43"/>
      <c r="AZ28" s="43"/>
      <c r="BA28" s="43"/>
      <c r="BB28" s="43"/>
      <c r="BC28" s="43"/>
      <c r="BD28" s="43"/>
    </row>
    <row r="29" spans="1:56" x14ac:dyDescent="0.25">
      <c r="A29" s="303" t="s">
        <v>126</v>
      </c>
      <c r="B29" s="304"/>
      <c r="C29" s="304"/>
      <c r="D29" s="30">
        <f>Datos!$I$8</f>
        <v>100000</v>
      </c>
      <c r="E29" s="21"/>
      <c r="F29" s="303" t="s">
        <v>127</v>
      </c>
      <c r="G29" s="304"/>
      <c r="H29" s="31">
        <f>D29+D30+D32+Datos!$I$10</f>
        <v>1800000</v>
      </c>
      <c r="I29" s="43"/>
      <c r="J29" s="303" t="s">
        <v>126</v>
      </c>
      <c r="K29" s="304"/>
      <c r="L29" s="304"/>
      <c r="M29" s="30">
        <f>Datos!$I$8</f>
        <v>100000</v>
      </c>
      <c r="N29" s="21"/>
      <c r="O29" s="303" t="s">
        <v>127</v>
      </c>
      <c r="P29" s="304"/>
      <c r="Q29" s="31">
        <f>M29+M30+M32+Datos!$I$10</f>
        <v>1800000</v>
      </c>
      <c r="R29" s="43"/>
      <c r="S29" s="303" t="s">
        <v>126</v>
      </c>
      <c r="T29" s="304"/>
      <c r="U29" s="304"/>
      <c r="V29" s="30">
        <f>Datos!$I$8</f>
        <v>100000</v>
      </c>
      <c r="W29" s="21"/>
      <c r="X29" s="303" t="s">
        <v>127</v>
      </c>
      <c r="Y29" s="304"/>
      <c r="Z29" s="31">
        <f>V29+V30+V32+Datos!$I$10</f>
        <v>1800000</v>
      </c>
      <c r="AA29" s="43"/>
      <c r="AB29" s="303" t="s">
        <v>126</v>
      </c>
      <c r="AC29" s="304"/>
      <c r="AD29" s="304"/>
      <c r="AE29" s="30">
        <f>Datos!$I$8</f>
        <v>100000</v>
      </c>
      <c r="AF29" s="21"/>
      <c r="AG29" s="303" t="s">
        <v>127</v>
      </c>
      <c r="AH29" s="304"/>
      <c r="AI29" s="31">
        <f>AE29+AE30+AE32+Datos!$I$10</f>
        <v>1800000</v>
      </c>
      <c r="AJ29" s="43"/>
      <c r="AK29" s="303" t="s">
        <v>126</v>
      </c>
      <c r="AL29" s="304"/>
      <c r="AM29" s="304"/>
      <c r="AN29" s="30">
        <f>Datos!$I$8</f>
        <v>100000</v>
      </c>
      <c r="AO29" s="21"/>
      <c r="AP29" s="303" t="s">
        <v>127</v>
      </c>
      <c r="AQ29" s="304"/>
      <c r="AR29" s="31">
        <f>AN29+AN30+AN32+Datos!$I$10</f>
        <v>1800000</v>
      </c>
      <c r="AS29" s="43"/>
      <c r="AT29" s="43"/>
      <c r="AU29" s="43"/>
      <c r="AV29" s="43"/>
      <c r="AW29" s="43"/>
      <c r="AX29" s="43"/>
      <c r="AY29" s="43"/>
      <c r="AZ29" s="43"/>
      <c r="BA29" s="43"/>
      <c r="BB29" s="43"/>
      <c r="BC29" s="43"/>
      <c r="BD29" s="43"/>
    </row>
    <row r="30" spans="1:56" x14ac:dyDescent="0.25">
      <c r="A30" s="307" t="s">
        <v>128</v>
      </c>
      <c r="B30" s="308"/>
      <c r="C30" s="308"/>
      <c r="D30" s="30">
        <f>Datos!$I$5</f>
        <v>500000</v>
      </c>
      <c r="E30" s="32"/>
      <c r="F30" s="307" t="s">
        <v>129</v>
      </c>
      <c r="G30" s="308"/>
      <c r="H30" s="32">
        <f>'Estado de Resultados'!I22</f>
        <v>1905050.1198265818</v>
      </c>
      <c r="I30" s="43"/>
      <c r="J30" s="307" t="s">
        <v>128</v>
      </c>
      <c r="K30" s="308"/>
      <c r="L30" s="308"/>
      <c r="M30" s="30">
        <f>Datos!$I$5</f>
        <v>500000</v>
      </c>
      <c r="N30" s="32"/>
      <c r="O30" s="307" t="s">
        <v>129</v>
      </c>
      <c r="P30" s="308"/>
      <c r="Q30" s="32">
        <f>'Estado de Resultados'!J22</f>
        <v>1829759.8311353181</v>
      </c>
      <c r="R30" s="43"/>
      <c r="S30" s="307" t="s">
        <v>128</v>
      </c>
      <c r="T30" s="308"/>
      <c r="U30" s="308"/>
      <c r="V30" s="30">
        <f>Datos!$I$5</f>
        <v>500000</v>
      </c>
      <c r="W30" s="32"/>
      <c r="X30" s="307" t="s">
        <v>129</v>
      </c>
      <c r="Y30" s="308"/>
      <c r="Z30" s="32">
        <f>'Estado de Resultados'!K22</f>
        <v>1746626.7192774327</v>
      </c>
      <c r="AA30" s="43"/>
      <c r="AB30" s="307" t="s">
        <v>128</v>
      </c>
      <c r="AC30" s="308"/>
      <c r="AD30" s="308"/>
      <c r="AE30" s="30">
        <f>Datos!$I$5</f>
        <v>500000</v>
      </c>
      <c r="AF30" s="32"/>
      <c r="AG30" s="307" t="s">
        <v>129</v>
      </c>
      <c r="AH30" s="308"/>
      <c r="AI30" s="32">
        <f>'Estado de Resultados'!L22</f>
        <v>1652255.2210977781</v>
      </c>
      <c r="AJ30" s="43"/>
      <c r="AK30" s="307" t="s">
        <v>128</v>
      </c>
      <c r="AL30" s="308"/>
      <c r="AM30" s="308"/>
      <c r="AN30" s="30">
        <f>Datos!$I$5</f>
        <v>500000</v>
      </c>
      <c r="AO30" s="32"/>
      <c r="AP30" s="307" t="s">
        <v>129</v>
      </c>
      <c r="AQ30" s="308"/>
      <c r="AR30" s="32">
        <f>'Estado de Resultados'!M22</f>
        <v>1542425.2838069713</v>
      </c>
      <c r="AS30" s="43"/>
      <c r="AT30" s="43"/>
      <c r="AU30" s="43"/>
      <c r="AV30" s="43"/>
      <c r="AW30" s="43"/>
      <c r="AX30" s="43"/>
      <c r="AY30" s="43"/>
      <c r="AZ30" s="43"/>
      <c r="BA30" s="43"/>
      <c r="BB30" s="43"/>
      <c r="BC30" s="43"/>
      <c r="BD30" s="43"/>
    </row>
    <row r="31" spans="1:56" x14ac:dyDescent="0.25">
      <c r="A31" s="303" t="s">
        <v>69</v>
      </c>
      <c r="B31" s="304"/>
      <c r="C31" s="304"/>
      <c r="D31" s="30">
        <f>Datos!$I$5/Datos!$I$6</f>
        <v>16666.666666666668</v>
      </c>
      <c r="E31" s="21"/>
      <c r="F31" s="33"/>
      <c r="G31" s="34"/>
      <c r="H31" s="21"/>
      <c r="I31" s="43"/>
      <c r="J31" s="303" t="s">
        <v>69</v>
      </c>
      <c r="K31" s="304"/>
      <c r="L31" s="304"/>
      <c r="M31" s="30">
        <f>Datos!$I$5/Datos!$I$6</f>
        <v>16666.666666666668</v>
      </c>
      <c r="N31" s="21"/>
      <c r="O31" s="33"/>
      <c r="P31" s="34"/>
      <c r="Q31" s="21"/>
      <c r="R31" s="43"/>
      <c r="S31" s="303" t="s">
        <v>69</v>
      </c>
      <c r="T31" s="304"/>
      <c r="U31" s="304"/>
      <c r="V31" s="30">
        <f>Datos!$I$5/Datos!$I$6</f>
        <v>16666.666666666668</v>
      </c>
      <c r="W31" s="21"/>
      <c r="X31" s="33"/>
      <c r="Y31" s="34"/>
      <c r="Z31" s="21"/>
      <c r="AA31" s="43"/>
      <c r="AB31" s="303" t="s">
        <v>69</v>
      </c>
      <c r="AC31" s="304"/>
      <c r="AD31" s="304"/>
      <c r="AE31" s="30">
        <f>Datos!$I$5/Datos!$I$6</f>
        <v>16666.666666666668</v>
      </c>
      <c r="AF31" s="21"/>
      <c r="AG31" s="33"/>
      <c r="AH31" s="34"/>
      <c r="AI31" s="21"/>
      <c r="AJ31" s="43"/>
      <c r="AK31" s="303" t="s">
        <v>69</v>
      </c>
      <c r="AL31" s="304"/>
      <c r="AM31" s="304"/>
      <c r="AN31" s="30">
        <f>Datos!$I$5/Datos!$I$6</f>
        <v>16666.666666666668</v>
      </c>
      <c r="AO31" s="21"/>
      <c r="AP31" s="33"/>
      <c r="AQ31" s="34"/>
      <c r="AR31" s="21"/>
      <c r="AS31" s="43"/>
      <c r="AT31" s="43"/>
      <c r="AU31" s="43"/>
      <c r="AV31" s="43"/>
      <c r="AW31" s="43"/>
      <c r="AX31" s="43"/>
      <c r="AY31" s="43"/>
      <c r="AZ31" s="43"/>
      <c r="BA31" s="43"/>
      <c r="BB31" s="43"/>
      <c r="BC31" s="43"/>
      <c r="BD31" s="43"/>
    </row>
    <row r="32" spans="1:56" x14ac:dyDescent="0.25">
      <c r="A32" s="303" t="s">
        <v>130</v>
      </c>
      <c r="B32" s="304"/>
      <c r="C32" s="304"/>
      <c r="D32" s="30">
        <f>Datos!$I$7</f>
        <v>1000000</v>
      </c>
      <c r="E32" s="21"/>
      <c r="F32" s="33"/>
      <c r="G32" s="30"/>
      <c r="H32" s="21"/>
      <c r="I32" s="43"/>
      <c r="J32" s="303" t="s">
        <v>130</v>
      </c>
      <c r="K32" s="304"/>
      <c r="L32" s="304"/>
      <c r="M32" s="30">
        <f>Datos!$I$7</f>
        <v>1000000</v>
      </c>
      <c r="N32" s="21"/>
      <c r="O32" s="33"/>
      <c r="P32" s="30"/>
      <c r="Q32" s="21"/>
      <c r="R32" s="43"/>
      <c r="S32" s="303" t="s">
        <v>130</v>
      </c>
      <c r="T32" s="304"/>
      <c r="U32" s="304"/>
      <c r="V32" s="30">
        <f>Datos!$I$7</f>
        <v>1000000</v>
      </c>
      <c r="W32" s="21"/>
      <c r="X32" s="33"/>
      <c r="Y32" s="30"/>
      <c r="Z32" s="21"/>
      <c r="AA32" s="43"/>
      <c r="AB32" s="303" t="s">
        <v>130</v>
      </c>
      <c r="AC32" s="304"/>
      <c r="AD32" s="304"/>
      <c r="AE32" s="30">
        <f>Datos!$I$7</f>
        <v>1000000</v>
      </c>
      <c r="AF32" s="21"/>
      <c r="AG32" s="33"/>
      <c r="AH32" s="30"/>
      <c r="AI32" s="21"/>
      <c r="AJ32" s="43"/>
      <c r="AK32" s="303" t="s">
        <v>130</v>
      </c>
      <c r="AL32" s="304"/>
      <c r="AM32" s="304"/>
      <c r="AN32" s="30">
        <f>Datos!$I$7</f>
        <v>1000000</v>
      </c>
      <c r="AO32" s="21"/>
      <c r="AP32" s="33"/>
      <c r="AQ32" s="30"/>
      <c r="AR32" s="21"/>
      <c r="AS32" s="43"/>
      <c r="AT32" s="43"/>
      <c r="AU32" s="43"/>
      <c r="AV32" s="43"/>
      <c r="AW32" s="43"/>
      <c r="AX32" s="43"/>
      <c r="AY32" s="43"/>
      <c r="AZ32" s="43"/>
      <c r="BA32" s="43"/>
      <c r="BB32" s="43"/>
      <c r="BC32" s="43"/>
      <c r="BD32" s="43"/>
    </row>
    <row r="33" spans="1:56" x14ac:dyDescent="0.25">
      <c r="A33" s="303" t="s">
        <v>69</v>
      </c>
      <c r="B33" s="304"/>
      <c r="C33" s="304"/>
      <c r="D33" s="30">
        <f>(Datos!$I$7-Datos!$I$8)/Datos!$I$9</f>
        <v>180000</v>
      </c>
      <c r="E33" s="21"/>
      <c r="F33" s="33"/>
      <c r="G33" s="30"/>
      <c r="H33" s="21"/>
      <c r="I33" s="43"/>
      <c r="J33" s="303" t="s">
        <v>69</v>
      </c>
      <c r="K33" s="304"/>
      <c r="L33" s="304"/>
      <c r="M33" s="30">
        <f>(Datos!$I$7-Datos!$I$8)/Datos!$I$9</f>
        <v>180000</v>
      </c>
      <c r="N33" s="21"/>
      <c r="O33" s="33"/>
      <c r="P33" s="30"/>
      <c r="Q33" s="21"/>
      <c r="R33" s="43"/>
      <c r="S33" s="303" t="s">
        <v>69</v>
      </c>
      <c r="T33" s="304"/>
      <c r="U33" s="304"/>
      <c r="V33" s="30">
        <f>(Datos!$I$7-Datos!$I$8)/Datos!$I$9</f>
        <v>180000</v>
      </c>
      <c r="W33" s="21"/>
      <c r="X33" s="33"/>
      <c r="Y33" s="30"/>
      <c r="Z33" s="21"/>
      <c r="AA33" s="43"/>
      <c r="AB33" s="303" t="s">
        <v>69</v>
      </c>
      <c r="AC33" s="304"/>
      <c r="AD33" s="304"/>
      <c r="AE33" s="30">
        <f>(Datos!$I$7-Datos!$I$8)/Datos!$I$9</f>
        <v>180000</v>
      </c>
      <c r="AF33" s="21"/>
      <c r="AG33" s="33"/>
      <c r="AH33" s="30"/>
      <c r="AI33" s="21"/>
      <c r="AJ33" s="43"/>
      <c r="AK33" s="303" t="s">
        <v>69</v>
      </c>
      <c r="AL33" s="304"/>
      <c r="AM33" s="304"/>
      <c r="AN33" s="30">
        <f>(Datos!$I$7-Datos!$I$8)/Datos!$I$9</f>
        <v>180000</v>
      </c>
      <c r="AO33" s="21"/>
      <c r="AP33" s="33"/>
      <c r="AQ33" s="30"/>
      <c r="AR33" s="21"/>
      <c r="AS33" s="43"/>
      <c r="AT33" s="43"/>
      <c r="AU33" s="43"/>
      <c r="AV33" s="43"/>
      <c r="AW33" s="43"/>
      <c r="AX33" s="43"/>
      <c r="AY33" s="43"/>
      <c r="AZ33" s="43"/>
      <c r="BA33" s="43"/>
      <c r="BB33" s="43"/>
      <c r="BC33" s="43"/>
      <c r="BD33" s="43"/>
    </row>
    <row r="34" spans="1:56" x14ac:dyDescent="0.25">
      <c r="A34" s="298" t="s">
        <v>131</v>
      </c>
      <c r="B34" s="299"/>
      <c r="C34" s="299"/>
      <c r="D34" s="35">
        <f>D29+D30+D32-D31-D33</f>
        <v>1403333.3333333333</v>
      </c>
      <c r="E34" s="21"/>
      <c r="F34" s="298" t="s">
        <v>132</v>
      </c>
      <c r="G34" s="299"/>
      <c r="H34" s="36">
        <f>H29+H30</f>
        <v>3705050.1198265818</v>
      </c>
      <c r="I34" s="43"/>
      <c r="J34" s="298" t="s">
        <v>131</v>
      </c>
      <c r="K34" s="299"/>
      <c r="L34" s="299"/>
      <c r="M34" s="35">
        <f>M29+M30+M32-M31-M33</f>
        <v>1403333.3333333333</v>
      </c>
      <c r="N34" s="21"/>
      <c r="O34" s="298" t="s">
        <v>132</v>
      </c>
      <c r="P34" s="299"/>
      <c r="Q34" s="36">
        <f>Q29+Q30</f>
        <v>3629759.8311353181</v>
      </c>
      <c r="R34" s="43"/>
      <c r="S34" s="298" t="s">
        <v>131</v>
      </c>
      <c r="T34" s="299"/>
      <c r="U34" s="299"/>
      <c r="V34" s="35">
        <f>V29+V30+V32-V31-V33</f>
        <v>1403333.3333333333</v>
      </c>
      <c r="W34" s="21"/>
      <c r="X34" s="298" t="s">
        <v>132</v>
      </c>
      <c r="Y34" s="299"/>
      <c r="Z34" s="36">
        <f>Z29+Z30</f>
        <v>3546626.7192774327</v>
      </c>
      <c r="AA34" s="43"/>
      <c r="AB34" s="298" t="s">
        <v>131</v>
      </c>
      <c r="AC34" s="299"/>
      <c r="AD34" s="299"/>
      <c r="AE34" s="35">
        <f>AE29+AE30+AE32-AE31-AE33</f>
        <v>1403333.3333333333</v>
      </c>
      <c r="AF34" s="21"/>
      <c r="AG34" s="298" t="s">
        <v>132</v>
      </c>
      <c r="AH34" s="299"/>
      <c r="AI34" s="36">
        <f>AI29+AI30</f>
        <v>3452255.2210977781</v>
      </c>
      <c r="AJ34" s="43"/>
      <c r="AK34" s="298" t="s">
        <v>131</v>
      </c>
      <c r="AL34" s="299"/>
      <c r="AM34" s="299"/>
      <c r="AN34" s="35">
        <f>AN29+AN30+AN32-AN31-AN33</f>
        <v>1403333.3333333333</v>
      </c>
      <c r="AO34" s="21"/>
      <c r="AP34" s="298" t="s">
        <v>132</v>
      </c>
      <c r="AQ34" s="299"/>
      <c r="AR34" s="36">
        <f>AR29+AR30</f>
        <v>3342425.2838069713</v>
      </c>
      <c r="AS34" s="43"/>
      <c r="AT34" s="43"/>
      <c r="AU34" s="43"/>
      <c r="AV34" s="43"/>
      <c r="AW34" s="43"/>
      <c r="AX34" s="43"/>
      <c r="AY34" s="43"/>
      <c r="AZ34" s="43"/>
      <c r="BA34" s="43"/>
      <c r="BB34" s="43"/>
      <c r="BC34" s="43"/>
      <c r="BD34" s="43"/>
    </row>
    <row r="35" spans="1:56" x14ac:dyDescent="0.25">
      <c r="A35" s="37"/>
      <c r="B35" s="38"/>
      <c r="C35" s="38"/>
      <c r="D35" s="39"/>
      <c r="E35" s="29"/>
      <c r="F35" s="26"/>
      <c r="G35" s="39"/>
      <c r="H35" s="29"/>
      <c r="I35" s="43"/>
      <c r="J35" s="37"/>
      <c r="K35" s="38"/>
      <c r="L35" s="38"/>
      <c r="M35" s="39"/>
      <c r="N35" s="29"/>
      <c r="O35" s="26"/>
      <c r="P35" s="39"/>
      <c r="Q35" s="29"/>
      <c r="R35" s="43"/>
      <c r="S35" s="37"/>
      <c r="T35" s="38"/>
      <c r="U35" s="38"/>
      <c r="V35" s="39"/>
      <c r="W35" s="29"/>
      <c r="X35" s="26"/>
      <c r="Y35" s="39"/>
      <c r="Z35" s="29"/>
      <c r="AA35" s="43"/>
      <c r="AB35" s="37"/>
      <c r="AC35" s="38"/>
      <c r="AD35" s="38"/>
      <c r="AE35" s="39"/>
      <c r="AF35" s="29"/>
      <c r="AG35" s="26"/>
      <c r="AH35" s="39"/>
      <c r="AI35" s="29"/>
      <c r="AJ35" s="43"/>
      <c r="AK35" s="37"/>
      <c r="AL35" s="38"/>
      <c r="AM35" s="38"/>
      <c r="AN35" s="39"/>
      <c r="AO35" s="29"/>
      <c r="AP35" s="26"/>
      <c r="AQ35" s="39"/>
      <c r="AR35" s="29"/>
      <c r="AS35" s="43"/>
      <c r="AT35" s="43"/>
      <c r="AU35" s="43"/>
      <c r="AV35" s="43"/>
      <c r="AW35" s="43"/>
      <c r="AX35" s="43"/>
      <c r="AY35" s="43"/>
      <c r="AZ35" s="43"/>
      <c r="BA35" s="43"/>
      <c r="BB35" s="43"/>
      <c r="BC35" s="43"/>
      <c r="BD35" s="43"/>
    </row>
    <row r="36" spans="1:56" x14ac:dyDescent="0.25">
      <c r="A36" s="305" t="s">
        <v>133</v>
      </c>
      <c r="B36" s="306"/>
      <c r="C36" s="306"/>
      <c r="D36" s="40">
        <f>D26+D34</f>
        <v>3705050.1198265813</v>
      </c>
      <c r="E36" s="17"/>
      <c r="F36" s="41" t="s">
        <v>134</v>
      </c>
      <c r="G36" s="40"/>
      <c r="H36" s="42">
        <f>H34</f>
        <v>3705050.1198265818</v>
      </c>
      <c r="I36" s="43"/>
      <c r="J36" s="305" t="s">
        <v>133</v>
      </c>
      <c r="K36" s="306"/>
      <c r="L36" s="306"/>
      <c r="M36" s="40">
        <f>M26+M34</f>
        <v>3629759.8311353177</v>
      </c>
      <c r="N36" s="17"/>
      <c r="O36" s="41" t="s">
        <v>134</v>
      </c>
      <c r="P36" s="40"/>
      <c r="Q36" s="42">
        <f>Q34</f>
        <v>3629759.8311353181</v>
      </c>
      <c r="R36" s="43"/>
      <c r="S36" s="305" t="s">
        <v>133</v>
      </c>
      <c r="T36" s="306"/>
      <c r="U36" s="306"/>
      <c r="V36" s="40">
        <f>V26+V34</f>
        <v>3546626.7192774322</v>
      </c>
      <c r="W36" s="17"/>
      <c r="X36" s="41" t="s">
        <v>134</v>
      </c>
      <c r="Y36" s="40"/>
      <c r="Z36" s="42">
        <f>Z34</f>
        <v>3546626.7192774327</v>
      </c>
      <c r="AA36" s="43"/>
      <c r="AB36" s="305" t="s">
        <v>133</v>
      </c>
      <c r="AC36" s="306"/>
      <c r="AD36" s="306"/>
      <c r="AE36" s="40">
        <f>AE26+AE34</f>
        <v>3452255.2210977781</v>
      </c>
      <c r="AF36" s="17"/>
      <c r="AG36" s="41" t="s">
        <v>134</v>
      </c>
      <c r="AH36" s="40"/>
      <c r="AI36" s="42">
        <f>AI34</f>
        <v>3452255.2210977781</v>
      </c>
      <c r="AJ36" s="43"/>
      <c r="AK36" s="305" t="s">
        <v>133</v>
      </c>
      <c r="AL36" s="306"/>
      <c r="AM36" s="306"/>
      <c r="AN36" s="40">
        <f>AN26+AN34</f>
        <v>3342425.2838069713</v>
      </c>
      <c r="AO36" s="17"/>
      <c r="AP36" s="41" t="s">
        <v>134</v>
      </c>
      <c r="AQ36" s="40"/>
      <c r="AR36" s="42">
        <f>AR34</f>
        <v>3342425.2838069713</v>
      </c>
      <c r="AS36" s="43"/>
      <c r="AT36" s="43"/>
      <c r="AU36" s="43"/>
      <c r="AV36" s="43"/>
      <c r="AW36" s="43"/>
      <c r="AX36" s="43"/>
      <c r="AY36" s="43"/>
      <c r="AZ36" s="43"/>
      <c r="BA36" s="43"/>
      <c r="BB36" s="43"/>
      <c r="BC36" s="43"/>
      <c r="BD36" s="43"/>
    </row>
    <row r="37" spans="1:56" x14ac:dyDescent="0.25">
      <c r="A37" s="43"/>
      <c r="B37" s="43"/>
      <c r="C37" s="43"/>
      <c r="D37" s="43"/>
      <c r="E37" s="43"/>
      <c r="F37" s="43"/>
      <c r="G37" s="43"/>
      <c r="H37" s="43"/>
      <c r="I37" s="43"/>
      <c r="J37" s="43"/>
      <c r="K37" s="43"/>
      <c r="L37" s="43"/>
      <c r="M37" s="43"/>
      <c r="N37" s="43"/>
      <c r="O37" s="43"/>
      <c r="P37" s="43"/>
      <c r="Q37" s="43"/>
      <c r="R37" s="43"/>
      <c r="S37" s="43"/>
      <c r="T37" s="43"/>
      <c r="U37" s="43"/>
      <c r="V37" s="43"/>
      <c r="W37" s="43"/>
      <c r="X37" s="43"/>
      <c r="Y37" s="43"/>
      <c r="Z37" s="43"/>
      <c r="AA37" s="43"/>
      <c r="AB37" s="43"/>
      <c r="AC37" s="43"/>
      <c r="AD37" s="43"/>
      <c r="AE37" s="43"/>
      <c r="AF37" s="43"/>
      <c r="AG37" s="43"/>
      <c r="AH37" s="43"/>
      <c r="AI37" s="43"/>
      <c r="AJ37" s="43"/>
      <c r="AK37" s="43"/>
      <c r="AL37" s="43"/>
      <c r="AM37" s="43"/>
      <c r="AN37" s="43"/>
      <c r="AO37" s="43"/>
      <c r="AP37" s="43"/>
      <c r="AQ37" s="43"/>
      <c r="AR37" s="43"/>
      <c r="AS37" s="43"/>
      <c r="AT37" s="43"/>
      <c r="AU37" s="43"/>
      <c r="AV37" s="43"/>
      <c r="AW37" s="43"/>
      <c r="AX37" s="43"/>
      <c r="AY37" s="43"/>
      <c r="AZ37" s="43"/>
      <c r="BA37" s="43"/>
      <c r="BB37" s="43"/>
      <c r="BC37" s="43"/>
      <c r="BD37" s="43"/>
    </row>
    <row r="38" spans="1:56" x14ac:dyDescent="0.25">
      <c r="A38" s="43"/>
      <c r="B38" s="43"/>
      <c r="C38" s="43"/>
      <c r="D38" s="43"/>
      <c r="E38" s="43"/>
      <c r="F38" s="43"/>
      <c r="G38" s="43"/>
      <c r="H38" s="43"/>
      <c r="I38" s="43"/>
      <c r="J38" s="43"/>
      <c r="K38" s="43"/>
      <c r="L38" s="43"/>
      <c r="M38" s="43"/>
      <c r="N38" s="43"/>
      <c r="O38" s="43"/>
      <c r="P38" s="43"/>
      <c r="Q38" s="43"/>
      <c r="R38" s="43"/>
      <c r="S38" s="43"/>
      <c r="T38" s="43"/>
      <c r="U38" s="43"/>
      <c r="V38" s="43"/>
      <c r="W38" s="43"/>
      <c r="X38" s="43"/>
      <c r="Y38" s="43"/>
      <c r="Z38" s="43"/>
      <c r="AA38" s="43"/>
      <c r="AB38" s="43"/>
      <c r="AC38" s="43"/>
      <c r="AD38" s="43"/>
      <c r="AE38" s="43"/>
      <c r="AF38" s="43"/>
      <c r="AG38" s="43"/>
      <c r="AH38" s="43"/>
      <c r="AI38" s="43"/>
      <c r="AJ38" s="43"/>
      <c r="AK38" s="43"/>
      <c r="AL38" s="43"/>
      <c r="AM38" s="43"/>
      <c r="AN38" s="43"/>
      <c r="AO38" s="43"/>
      <c r="AP38" s="43"/>
      <c r="AQ38" s="43"/>
      <c r="AR38" s="43"/>
      <c r="AS38" s="43"/>
      <c r="AT38" s="43"/>
      <c r="AU38" s="43"/>
      <c r="AV38" s="43"/>
      <c r="AW38" s="43"/>
      <c r="AX38" s="43"/>
      <c r="AY38" s="43"/>
      <c r="AZ38" s="43"/>
      <c r="BA38" s="43"/>
      <c r="BB38" s="43"/>
      <c r="BC38" s="43"/>
      <c r="BD38" s="43"/>
    </row>
    <row r="39" spans="1:56" x14ac:dyDescent="0.25">
      <c r="A39" s="43"/>
      <c r="B39" s="43"/>
      <c r="C39" s="43"/>
      <c r="D39" s="43"/>
      <c r="E39" s="43"/>
      <c r="F39" s="43"/>
      <c r="G39" s="43"/>
      <c r="H39" s="43"/>
      <c r="I39" s="43"/>
      <c r="J39" s="43"/>
      <c r="K39" s="43"/>
      <c r="L39" s="43"/>
      <c r="M39" s="43"/>
      <c r="N39" s="43"/>
      <c r="O39" s="43"/>
      <c r="P39" s="43"/>
      <c r="Q39" s="43"/>
      <c r="R39" s="43"/>
      <c r="S39" s="43"/>
      <c r="T39" s="43"/>
      <c r="U39" s="43"/>
      <c r="V39" s="43"/>
      <c r="W39" s="43"/>
      <c r="X39" s="43"/>
      <c r="Y39" s="43"/>
      <c r="Z39" s="43"/>
      <c r="AA39" s="43"/>
      <c r="AB39" s="43"/>
      <c r="AC39" s="43"/>
      <c r="AD39" s="43"/>
      <c r="AE39" s="43"/>
      <c r="AF39" s="43"/>
      <c r="AG39" s="43"/>
      <c r="AH39" s="43"/>
      <c r="AI39" s="43"/>
      <c r="AJ39" s="43"/>
      <c r="AK39" s="43"/>
      <c r="AL39" s="43"/>
      <c r="AM39" s="43"/>
      <c r="AN39" s="43"/>
      <c r="AO39" s="43"/>
      <c r="AP39" s="43"/>
      <c r="AQ39" s="43"/>
      <c r="AR39" s="43"/>
      <c r="AS39" s="43"/>
      <c r="AT39" s="43"/>
      <c r="AU39" s="43"/>
      <c r="AV39" s="43"/>
      <c r="AW39" s="43"/>
      <c r="AX39" s="43"/>
      <c r="AY39" s="43"/>
      <c r="AZ39" s="43"/>
      <c r="BA39" s="43"/>
      <c r="BB39" s="43"/>
      <c r="BC39" s="43"/>
      <c r="BD39" s="43"/>
    </row>
    <row r="40" spans="1:56" x14ac:dyDescent="0.25">
      <c r="A40" s="43"/>
      <c r="B40" s="43"/>
      <c r="C40" s="43"/>
      <c r="D40" s="43"/>
      <c r="E40" s="43"/>
      <c r="F40" s="43"/>
      <c r="G40" s="43"/>
      <c r="H40" s="43"/>
      <c r="I40" s="43"/>
      <c r="J40" s="43"/>
      <c r="K40" s="43"/>
      <c r="L40" s="43"/>
      <c r="M40" s="43"/>
      <c r="N40" s="43"/>
      <c r="O40" s="43"/>
      <c r="P40" s="43"/>
      <c r="Q40" s="43"/>
      <c r="R40" s="43"/>
      <c r="S40" s="43"/>
      <c r="T40" s="43"/>
      <c r="U40" s="43"/>
      <c r="V40" s="43"/>
      <c r="W40" s="43"/>
      <c r="X40" s="43"/>
      <c r="Y40" s="43"/>
      <c r="Z40" s="43"/>
      <c r="AA40" s="43"/>
      <c r="AB40" s="43"/>
      <c r="AC40" s="43"/>
      <c r="AD40" s="43"/>
      <c r="AE40" s="43"/>
      <c r="AF40" s="43"/>
      <c r="AG40" s="43"/>
      <c r="AH40" s="43"/>
      <c r="AI40" s="43"/>
      <c r="AJ40" s="43"/>
      <c r="AK40" s="43"/>
      <c r="AL40" s="43"/>
      <c r="AM40" s="43"/>
      <c r="AN40" s="43"/>
      <c r="AO40" s="43"/>
      <c r="AP40" s="43"/>
      <c r="AQ40" s="43"/>
      <c r="AR40" s="43"/>
      <c r="AS40" s="43"/>
      <c r="AT40" s="43"/>
      <c r="AU40" s="43"/>
      <c r="AV40" s="43"/>
      <c r="AW40" s="43"/>
      <c r="AX40" s="43"/>
      <c r="AY40" s="43"/>
      <c r="AZ40" s="43"/>
      <c r="BA40" s="43"/>
      <c r="BB40" s="43"/>
      <c r="BC40" s="43"/>
      <c r="BD40" s="43"/>
    </row>
    <row r="41" spans="1:56" x14ac:dyDescent="0.25">
      <c r="A41" s="43"/>
      <c r="B41" s="43"/>
      <c r="C41" s="43"/>
      <c r="D41" s="43"/>
      <c r="E41" s="43"/>
      <c r="F41" s="43"/>
      <c r="G41" s="43"/>
      <c r="H41" s="43"/>
      <c r="I41" s="43"/>
      <c r="J41" s="43"/>
      <c r="K41" s="43"/>
      <c r="L41" s="43"/>
      <c r="M41" s="43"/>
      <c r="N41" s="43"/>
      <c r="O41" s="43"/>
      <c r="P41" s="43"/>
      <c r="Q41" s="43"/>
      <c r="R41" s="43"/>
      <c r="S41" s="43"/>
      <c r="T41" s="43"/>
      <c r="U41" s="43"/>
      <c r="V41" s="43"/>
      <c r="W41" s="43"/>
      <c r="X41" s="43"/>
      <c r="Y41" s="43"/>
      <c r="Z41" s="43"/>
      <c r="AA41" s="43"/>
      <c r="AB41" s="43"/>
      <c r="AC41" s="43"/>
      <c r="AD41" s="43"/>
      <c r="AE41" s="43"/>
      <c r="AF41" s="43"/>
      <c r="AG41" s="43"/>
      <c r="AH41" s="43"/>
      <c r="AI41" s="43"/>
      <c r="AJ41" s="43"/>
      <c r="AK41" s="43"/>
      <c r="AL41" s="43"/>
      <c r="AM41" s="43"/>
      <c r="AN41" s="43"/>
      <c r="AO41" s="43"/>
      <c r="AP41" s="43"/>
      <c r="AQ41" s="43"/>
      <c r="AR41" s="43"/>
      <c r="AS41" s="43"/>
      <c r="AT41" s="43"/>
      <c r="AU41" s="43"/>
      <c r="AV41" s="43"/>
      <c r="AW41" s="43"/>
      <c r="AX41" s="43"/>
      <c r="AY41" s="43"/>
      <c r="AZ41" s="43"/>
      <c r="BA41" s="43"/>
      <c r="BB41" s="43"/>
      <c r="BC41" s="43"/>
      <c r="BD41" s="43"/>
    </row>
    <row r="42" spans="1:56" x14ac:dyDescent="0.25">
      <c r="A42" s="43"/>
      <c r="B42" s="43"/>
      <c r="C42" s="43"/>
      <c r="D42" s="43"/>
      <c r="E42" s="43"/>
      <c r="F42" s="43"/>
      <c r="G42" s="43"/>
      <c r="H42" s="43"/>
      <c r="I42" s="43"/>
      <c r="J42" s="43"/>
      <c r="K42" s="43"/>
      <c r="L42" s="43"/>
      <c r="M42" s="43"/>
      <c r="N42" s="43"/>
      <c r="O42" s="43"/>
      <c r="P42" s="43"/>
      <c r="Q42" s="43"/>
      <c r="R42" s="43"/>
      <c r="S42" s="43"/>
      <c r="T42" s="43"/>
      <c r="U42" s="43"/>
      <c r="V42" s="43"/>
      <c r="W42" s="43"/>
      <c r="X42" s="43"/>
      <c r="Y42" s="43"/>
      <c r="Z42" s="43"/>
      <c r="AA42" s="43"/>
      <c r="AB42" s="43"/>
      <c r="AC42" s="43"/>
      <c r="AD42" s="43"/>
      <c r="AE42" s="43"/>
      <c r="AF42" s="43"/>
      <c r="AG42" s="43"/>
      <c r="AH42" s="43"/>
      <c r="AI42" s="43"/>
      <c r="AJ42" s="43"/>
      <c r="AK42" s="43"/>
      <c r="AL42" s="43"/>
      <c r="AM42" s="43"/>
      <c r="AN42" s="43"/>
      <c r="AO42" s="43"/>
      <c r="AP42" s="43"/>
      <c r="AQ42" s="43"/>
      <c r="AR42" s="43"/>
      <c r="AS42" s="43"/>
      <c r="AT42" s="43"/>
      <c r="AU42" s="43"/>
      <c r="AV42" s="43"/>
      <c r="AW42" s="43"/>
      <c r="AX42" s="43"/>
      <c r="AY42" s="43"/>
      <c r="AZ42" s="43"/>
      <c r="BA42" s="43"/>
      <c r="BB42" s="43"/>
      <c r="BC42" s="43"/>
      <c r="BD42" s="43"/>
    </row>
    <row r="43" spans="1:56" x14ac:dyDescent="0.25">
      <c r="A43" s="43"/>
      <c r="B43" s="43"/>
      <c r="C43" s="43"/>
      <c r="D43" s="43"/>
      <c r="E43" s="43"/>
      <c r="F43" s="43"/>
      <c r="G43" s="43"/>
      <c r="H43" s="43"/>
      <c r="I43" s="43"/>
      <c r="J43" s="11"/>
      <c r="K43" s="11"/>
      <c r="L43" s="11"/>
      <c r="M43" s="11"/>
      <c r="N43" s="11"/>
      <c r="O43" s="11"/>
      <c r="P43" s="11"/>
      <c r="Q43" s="11"/>
      <c r="R43" s="11"/>
      <c r="S43" s="11"/>
      <c r="T43" s="11"/>
      <c r="U43" s="11"/>
      <c r="V43" s="11"/>
      <c r="W43" s="11"/>
      <c r="X43" s="11"/>
      <c r="Y43" s="11"/>
      <c r="Z43" s="11"/>
      <c r="AA43" s="11"/>
      <c r="AB43" s="11"/>
      <c r="AC43" s="11"/>
      <c r="AD43" s="11"/>
      <c r="AE43" s="11"/>
      <c r="AF43" s="11"/>
      <c r="AG43" s="11"/>
      <c r="AH43" s="11"/>
      <c r="AI43" s="11"/>
      <c r="AJ43" s="11"/>
      <c r="AK43" s="11"/>
      <c r="AL43" s="11"/>
      <c r="AM43" s="11"/>
      <c r="AN43" s="11"/>
      <c r="AO43" s="11"/>
      <c r="AP43" s="11"/>
      <c r="AQ43" s="11"/>
      <c r="AR43" s="11"/>
      <c r="AS43" s="11"/>
      <c r="AT43" s="11"/>
      <c r="AU43" s="11"/>
    </row>
    <row r="44" spans="1:56" x14ac:dyDescent="0.25">
      <c r="A44" s="43"/>
      <c r="B44" s="43"/>
      <c r="C44" s="43"/>
      <c r="D44" s="43"/>
      <c r="E44" s="43"/>
      <c r="F44" s="43"/>
      <c r="G44" s="43"/>
      <c r="H44" s="43"/>
      <c r="I44" s="43"/>
      <c r="J44" s="11"/>
      <c r="K44" s="11"/>
      <c r="L44" s="11"/>
      <c r="M44" s="11"/>
      <c r="N44" s="11"/>
      <c r="O44" s="11"/>
      <c r="P44" s="11"/>
      <c r="Q44" s="11"/>
      <c r="R44" s="11"/>
      <c r="S44" s="11"/>
      <c r="T44" s="11"/>
      <c r="U44" s="11"/>
      <c r="V44" s="11"/>
      <c r="W44" s="11"/>
      <c r="X44" s="11"/>
      <c r="Y44" s="11"/>
      <c r="Z44" s="11"/>
      <c r="AA44" s="11"/>
      <c r="AB44" s="11"/>
      <c r="AC44" s="11"/>
      <c r="AD44" s="11"/>
      <c r="AE44" s="11"/>
      <c r="AF44" s="11"/>
      <c r="AG44" s="11"/>
      <c r="AH44" s="11"/>
      <c r="AI44" s="11"/>
      <c r="AJ44" s="11"/>
      <c r="AK44" s="11"/>
      <c r="AL44" s="11"/>
      <c r="AM44" s="11"/>
      <c r="AN44" s="11"/>
      <c r="AO44" s="11"/>
      <c r="AP44" s="11"/>
      <c r="AQ44" s="11"/>
      <c r="AR44" s="11"/>
      <c r="AS44" s="11"/>
      <c r="AT44" s="11"/>
      <c r="AU44" s="11"/>
    </row>
    <row r="45" spans="1:56" x14ac:dyDescent="0.25">
      <c r="A45" s="43"/>
      <c r="B45" s="43"/>
      <c r="C45" s="43"/>
      <c r="D45" s="43"/>
      <c r="E45" s="43"/>
      <c r="F45" s="43"/>
      <c r="G45" s="43"/>
      <c r="H45" s="43"/>
      <c r="I45" s="43"/>
      <c r="J45" s="11"/>
      <c r="K45" s="11"/>
      <c r="L45" s="11"/>
      <c r="M45" s="11"/>
      <c r="N45" s="11"/>
      <c r="O45" s="11"/>
      <c r="P45" s="11"/>
      <c r="Q45" s="11"/>
      <c r="R45" s="11"/>
      <c r="S45" s="11"/>
      <c r="T45" s="11"/>
      <c r="U45" s="11"/>
      <c r="V45" s="11"/>
      <c r="W45" s="11"/>
      <c r="X45" s="11"/>
      <c r="Y45" s="11"/>
      <c r="Z45" s="11"/>
      <c r="AA45" s="11"/>
      <c r="AB45" s="11"/>
      <c r="AC45" s="11"/>
      <c r="AD45" s="11"/>
      <c r="AE45" s="11"/>
      <c r="AF45" s="11"/>
      <c r="AG45" s="11"/>
      <c r="AH45" s="11"/>
      <c r="AI45" s="11"/>
      <c r="AJ45" s="11"/>
      <c r="AK45" s="11"/>
      <c r="AL45" s="11"/>
      <c r="AM45" s="11"/>
      <c r="AN45" s="11"/>
      <c r="AO45" s="11"/>
      <c r="AP45" s="11"/>
      <c r="AQ45" s="11"/>
      <c r="AR45" s="11"/>
      <c r="AS45" s="11"/>
      <c r="AT45" s="11"/>
      <c r="AU45" s="11"/>
    </row>
    <row r="46" spans="1:56" x14ac:dyDescent="0.25">
      <c r="A46" s="43"/>
      <c r="B46" s="43"/>
      <c r="C46" s="43"/>
      <c r="D46" s="43"/>
      <c r="E46" s="43"/>
      <c r="F46" s="43"/>
      <c r="G46" s="43"/>
      <c r="H46" s="43"/>
      <c r="I46" s="43"/>
      <c r="J46" s="11"/>
      <c r="K46" s="11"/>
      <c r="L46" s="11"/>
      <c r="M46" s="11"/>
      <c r="N46" s="11"/>
      <c r="O46" s="11"/>
      <c r="P46" s="11"/>
      <c r="Q46" s="11"/>
      <c r="R46" s="11"/>
      <c r="S46" s="11"/>
      <c r="T46" s="11"/>
      <c r="U46" s="11"/>
      <c r="V46" s="11"/>
      <c r="W46" s="11"/>
      <c r="X46" s="11"/>
      <c r="Y46" s="11"/>
      <c r="Z46" s="11"/>
      <c r="AA46" s="11"/>
      <c r="AB46" s="11"/>
      <c r="AC46" s="11"/>
      <c r="AD46" s="11"/>
      <c r="AE46" s="11"/>
      <c r="AF46" s="11"/>
      <c r="AG46" s="11"/>
      <c r="AH46" s="11"/>
      <c r="AI46" s="11"/>
      <c r="AJ46" s="11"/>
      <c r="AK46" s="11"/>
      <c r="AL46" s="11"/>
      <c r="AM46" s="11"/>
      <c r="AN46" s="11"/>
      <c r="AO46" s="11"/>
      <c r="AP46" s="11"/>
      <c r="AQ46" s="11"/>
      <c r="AR46" s="11"/>
      <c r="AS46" s="11"/>
      <c r="AT46" s="11"/>
      <c r="AU46" s="11"/>
    </row>
    <row r="47" spans="1:56" x14ac:dyDescent="0.25">
      <c r="A47" s="43"/>
      <c r="B47" s="43"/>
      <c r="C47" s="43"/>
      <c r="D47" s="43"/>
      <c r="E47" s="43"/>
      <c r="F47" s="43"/>
      <c r="G47" s="43"/>
      <c r="H47" s="43"/>
      <c r="I47" s="43"/>
      <c r="J47" s="11"/>
      <c r="K47" s="11"/>
      <c r="L47" s="11"/>
      <c r="M47" s="11"/>
      <c r="N47" s="11"/>
      <c r="O47" s="11"/>
      <c r="P47" s="11"/>
      <c r="Q47" s="11"/>
      <c r="R47" s="11"/>
      <c r="S47" s="11"/>
      <c r="T47" s="11"/>
      <c r="U47" s="11"/>
      <c r="V47" s="11"/>
      <c r="W47" s="11"/>
      <c r="X47" s="11"/>
      <c r="Y47" s="11"/>
      <c r="Z47" s="11"/>
      <c r="AA47" s="11"/>
      <c r="AB47" s="11"/>
      <c r="AC47" s="11"/>
      <c r="AD47" s="11"/>
      <c r="AE47" s="11"/>
      <c r="AF47" s="11"/>
      <c r="AG47" s="11"/>
      <c r="AH47" s="11"/>
      <c r="AI47" s="11"/>
      <c r="AJ47" s="11"/>
      <c r="AK47" s="11"/>
      <c r="AL47" s="11"/>
      <c r="AM47" s="11"/>
      <c r="AN47" s="11"/>
      <c r="AO47" s="11"/>
      <c r="AP47" s="11"/>
      <c r="AQ47" s="11"/>
      <c r="AR47" s="11"/>
      <c r="AS47" s="11"/>
      <c r="AT47" s="11"/>
      <c r="AU47" s="11"/>
    </row>
    <row r="48" spans="1:56" x14ac:dyDescent="0.25">
      <c r="A48" s="43"/>
      <c r="B48" s="43"/>
      <c r="C48" s="43"/>
      <c r="D48" s="43"/>
      <c r="E48" s="43"/>
      <c r="F48" s="43"/>
      <c r="G48" s="43"/>
      <c r="H48" s="43"/>
      <c r="I48" s="43"/>
      <c r="J48" s="11"/>
      <c r="K48" s="11"/>
      <c r="L48" s="11"/>
      <c r="M48" s="11"/>
      <c r="N48" s="11"/>
      <c r="O48" s="11"/>
      <c r="P48" s="11"/>
      <c r="Q48" s="11"/>
      <c r="R48" s="11"/>
      <c r="S48" s="11"/>
      <c r="T48" s="11"/>
      <c r="U48" s="11"/>
      <c r="V48" s="11"/>
      <c r="W48" s="11"/>
      <c r="X48" s="11"/>
      <c r="Y48" s="11"/>
      <c r="Z48" s="11"/>
      <c r="AA48" s="11"/>
      <c r="AB48" s="11"/>
      <c r="AC48" s="11"/>
      <c r="AD48" s="11"/>
      <c r="AE48" s="11"/>
      <c r="AF48" s="11"/>
      <c r="AG48" s="11"/>
      <c r="AH48" s="11"/>
      <c r="AI48" s="11"/>
      <c r="AJ48" s="11"/>
      <c r="AK48" s="11"/>
      <c r="AL48" s="11"/>
      <c r="AM48" s="11"/>
      <c r="AN48" s="11"/>
      <c r="AO48" s="11"/>
      <c r="AP48" s="11"/>
      <c r="AQ48" s="11"/>
      <c r="AR48" s="11"/>
      <c r="AS48" s="11"/>
      <c r="AT48" s="11"/>
      <c r="AU48" s="11"/>
    </row>
    <row r="49" spans="1:47" x14ac:dyDescent="0.25">
      <c r="A49" s="43"/>
      <c r="B49" s="43"/>
      <c r="C49" s="43"/>
      <c r="D49" s="43"/>
      <c r="E49" s="43"/>
      <c r="F49" s="43"/>
      <c r="G49" s="43"/>
      <c r="H49" s="43"/>
      <c r="I49" s="43"/>
      <c r="J49" s="11"/>
      <c r="K49" s="11"/>
      <c r="L49" s="11"/>
      <c r="M49" s="11"/>
      <c r="N49" s="11"/>
      <c r="O49" s="11"/>
      <c r="P49" s="11"/>
      <c r="Q49" s="11"/>
      <c r="R49" s="11"/>
      <c r="S49" s="11"/>
      <c r="T49" s="11"/>
      <c r="U49" s="11"/>
      <c r="V49" s="11"/>
      <c r="W49" s="11"/>
      <c r="X49" s="11"/>
      <c r="Y49" s="11"/>
      <c r="Z49" s="11"/>
      <c r="AA49" s="11"/>
      <c r="AB49" s="11"/>
      <c r="AC49" s="11"/>
      <c r="AD49" s="11"/>
      <c r="AE49" s="11"/>
      <c r="AF49" s="11"/>
      <c r="AG49" s="11"/>
      <c r="AH49" s="11"/>
      <c r="AI49" s="11"/>
      <c r="AJ49" s="11"/>
      <c r="AK49" s="11"/>
      <c r="AL49" s="11"/>
      <c r="AM49" s="11"/>
      <c r="AN49" s="11"/>
      <c r="AO49" s="11"/>
      <c r="AP49" s="11"/>
      <c r="AQ49" s="11"/>
      <c r="AR49" s="11"/>
      <c r="AS49" s="11"/>
      <c r="AT49" s="11"/>
      <c r="AU49" s="11"/>
    </row>
    <row r="50" spans="1:47" x14ac:dyDescent="0.25">
      <c r="A50" s="43"/>
      <c r="B50" s="43"/>
      <c r="C50" s="43"/>
      <c r="D50" s="43"/>
      <c r="E50" s="43"/>
      <c r="F50" s="43"/>
      <c r="G50" s="43"/>
      <c r="H50" s="43"/>
      <c r="I50" s="43"/>
      <c r="J50" s="11"/>
      <c r="K50" s="11"/>
      <c r="L50" s="11"/>
      <c r="M50" s="11"/>
      <c r="N50" s="11"/>
      <c r="O50" s="11"/>
      <c r="P50" s="11"/>
      <c r="Q50" s="11"/>
      <c r="R50" s="11"/>
      <c r="S50" s="11"/>
      <c r="T50" s="11"/>
      <c r="U50" s="11"/>
      <c r="V50" s="11"/>
      <c r="W50" s="11"/>
      <c r="X50" s="11"/>
      <c r="Y50" s="11"/>
      <c r="Z50" s="11"/>
      <c r="AA50" s="11"/>
      <c r="AB50" s="11"/>
      <c r="AC50" s="11"/>
      <c r="AD50" s="11"/>
      <c r="AE50" s="11"/>
      <c r="AF50" s="11"/>
      <c r="AG50" s="11"/>
      <c r="AH50" s="11"/>
      <c r="AI50" s="11"/>
      <c r="AJ50" s="11"/>
      <c r="AK50" s="11"/>
      <c r="AL50" s="11"/>
      <c r="AM50" s="11"/>
      <c r="AN50" s="11"/>
      <c r="AO50" s="11"/>
      <c r="AP50" s="11"/>
      <c r="AQ50" s="11"/>
      <c r="AR50" s="11"/>
      <c r="AS50" s="11"/>
      <c r="AT50" s="11"/>
      <c r="AU50" s="11"/>
    </row>
    <row r="51" spans="1:47" x14ac:dyDescent="0.25">
      <c r="A51" s="43"/>
      <c r="B51" s="43"/>
      <c r="C51" s="43"/>
      <c r="D51" s="43"/>
      <c r="E51" s="43"/>
      <c r="F51" s="43"/>
      <c r="G51" s="43"/>
      <c r="H51" s="43"/>
      <c r="I51" s="43"/>
      <c r="J51" s="11"/>
      <c r="K51" s="11"/>
      <c r="L51" s="11"/>
      <c r="M51" s="11"/>
      <c r="N51" s="11"/>
      <c r="O51" s="11"/>
      <c r="P51" s="11"/>
      <c r="Q51" s="11"/>
      <c r="R51" s="11"/>
      <c r="S51" s="11"/>
      <c r="T51" s="11"/>
      <c r="U51" s="11"/>
      <c r="V51" s="11"/>
      <c r="W51" s="11"/>
      <c r="X51" s="11"/>
      <c r="Y51" s="11"/>
      <c r="Z51" s="11"/>
      <c r="AA51" s="11"/>
      <c r="AB51" s="11"/>
      <c r="AC51" s="11"/>
      <c r="AD51" s="11"/>
      <c r="AE51" s="11"/>
      <c r="AF51" s="11"/>
      <c r="AG51" s="11"/>
      <c r="AH51" s="11"/>
      <c r="AI51" s="11"/>
      <c r="AJ51" s="11"/>
      <c r="AK51" s="11"/>
      <c r="AL51" s="11"/>
      <c r="AM51" s="11"/>
      <c r="AN51" s="11"/>
      <c r="AO51" s="11"/>
      <c r="AP51" s="11"/>
      <c r="AQ51" s="11"/>
      <c r="AR51" s="11"/>
      <c r="AS51" s="11"/>
      <c r="AT51" s="11"/>
      <c r="AU51" s="11"/>
    </row>
    <row r="52" spans="1:47" x14ac:dyDescent="0.25">
      <c r="A52" s="43"/>
      <c r="B52" s="43"/>
      <c r="C52" s="43"/>
      <c r="D52" s="43"/>
      <c r="E52" s="43"/>
      <c r="F52" s="43"/>
      <c r="G52" s="43"/>
      <c r="H52" s="43"/>
      <c r="I52" s="43"/>
      <c r="J52" s="11"/>
      <c r="K52" s="11"/>
      <c r="L52" s="11"/>
      <c r="M52" s="11"/>
      <c r="N52" s="11"/>
      <c r="O52" s="11"/>
      <c r="P52" s="11"/>
      <c r="Q52" s="11"/>
      <c r="R52" s="11"/>
      <c r="S52" s="11"/>
      <c r="T52" s="11"/>
      <c r="U52" s="11"/>
      <c r="V52" s="11"/>
      <c r="W52" s="11"/>
      <c r="X52" s="11"/>
      <c r="Y52" s="11"/>
      <c r="Z52" s="11"/>
      <c r="AA52" s="11"/>
      <c r="AB52" s="11"/>
      <c r="AC52" s="11"/>
      <c r="AD52" s="11"/>
      <c r="AE52" s="11"/>
      <c r="AF52" s="11"/>
      <c r="AG52" s="11"/>
      <c r="AH52" s="11"/>
      <c r="AI52" s="11"/>
      <c r="AJ52" s="11"/>
      <c r="AK52" s="11"/>
      <c r="AL52" s="11"/>
      <c r="AM52" s="11"/>
      <c r="AN52" s="11"/>
      <c r="AO52" s="11"/>
      <c r="AP52" s="11"/>
      <c r="AQ52" s="11"/>
      <c r="AR52" s="11"/>
      <c r="AS52" s="11"/>
      <c r="AT52" s="11"/>
      <c r="AU52" s="11"/>
    </row>
    <row r="53" spans="1:47" x14ac:dyDescent="0.25">
      <c r="A53" s="43"/>
      <c r="B53" s="43"/>
      <c r="C53" s="43"/>
      <c r="D53" s="43"/>
      <c r="E53" s="43"/>
      <c r="F53" s="43"/>
      <c r="G53" s="43"/>
      <c r="H53" s="43"/>
      <c r="I53" s="43"/>
      <c r="J53" s="11"/>
      <c r="K53" s="11"/>
      <c r="L53" s="11"/>
      <c r="M53" s="11"/>
      <c r="N53" s="11"/>
      <c r="O53" s="11"/>
      <c r="P53" s="11"/>
      <c r="Q53" s="11"/>
      <c r="R53" s="11"/>
      <c r="S53" s="11"/>
      <c r="T53" s="11"/>
      <c r="U53" s="11"/>
      <c r="V53" s="11"/>
      <c r="W53" s="11"/>
      <c r="X53" s="11"/>
      <c r="Y53" s="11"/>
      <c r="Z53" s="11"/>
      <c r="AA53" s="11"/>
      <c r="AB53" s="11"/>
      <c r="AC53" s="11"/>
      <c r="AD53" s="11"/>
      <c r="AE53" s="11"/>
      <c r="AF53" s="11"/>
      <c r="AG53" s="11"/>
      <c r="AH53" s="11"/>
      <c r="AI53" s="11"/>
      <c r="AJ53" s="11"/>
      <c r="AK53" s="11"/>
      <c r="AL53" s="11"/>
      <c r="AM53" s="11"/>
      <c r="AN53" s="11"/>
      <c r="AO53" s="11"/>
      <c r="AP53" s="11"/>
      <c r="AQ53" s="11"/>
      <c r="AR53" s="11"/>
      <c r="AS53" s="11"/>
      <c r="AT53" s="11"/>
      <c r="AU53" s="11"/>
    </row>
    <row r="54" spans="1:47" x14ac:dyDescent="0.25">
      <c r="A54" s="43"/>
      <c r="B54" s="43"/>
      <c r="C54" s="43"/>
      <c r="D54" s="43"/>
      <c r="E54" s="43"/>
      <c r="F54" s="43"/>
      <c r="G54" s="43"/>
      <c r="H54" s="43"/>
      <c r="I54" s="43"/>
      <c r="J54" s="11"/>
      <c r="K54" s="11"/>
      <c r="L54" s="11"/>
      <c r="M54" s="11"/>
      <c r="N54" s="11"/>
      <c r="O54" s="11"/>
      <c r="P54" s="11"/>
      <c r="Q54" s="11"/>
      <c r="R54" s="11"/>
      <c r="S54" s="11"/>
      <c r="T54" s="11"/>
      <c r="U54" s="11"/>
      <c r="V54" s="11"/>
      <c r="W54" s="11"/>
      <c r="X54" s="11"/>
      <c r="Y54" s="11"/>
      <c r="Z54" s="11"/>
      <c r="AA54" s="11"/>
      <c r="AB54" s="11"/>
      <c r="AC54" s="11"/>
      <c r="AD54" s="11"/>
      <c r="AE54" s="11"/>
      <c r="AF54" s="11"/>
      <c r="AG54" s="11"/>
      <c r="AH54" s="11"/>
      <c r="AI54" s="11"/>
      <c r="AJ54" s="11"/>
      <c r="AK54" s="11"/>
      <c r="AL54" s="11"/>
      <c r="AM54" s="11"/>
      <c r="AN54" s="11"/>
      <c r="AO54" s="11"/>
      <c r="AP54" s="11"/>
      <c r="AQ54" s="11"/>
      <c r="AR54" s="11"/>
      <c r="AS54" s="11"/>
      <c r="AT54" s="11"/>
      <c r="AU54" s="11"/>
    </row>
    <row r="55" spans="1:47" x14ac:dyDescent="0.25">
      <c r="A55" s="43"/>
      <c r="B55" s="43"/>
      <c r="C55" s="43"/>
      <c r="D55" s="43"/>
      <c r="E55" s="43"/>
      <c r="F55" s="43"/>
      <c r="G55" s="43"/>
      <c r="H55" s="43"/>
      <c r="I55" s="43"/>
      <c r="J55" s="11"/>
      <c r="K55" s="11"/>
      <c r="L55" s="11"/>
      <c r="M55" s="11"/>
      <c r="N55" s="11"/>
      <c r="O55" s="11"/>
      <c r="P55" s="11"/>
      <c r="Q55" s="11"/>
      <c r="R55" s="11"/>
      <c r="S55" s="11"/>
      <c r="T55" s="11"/>
      <c r="U55" s="11"/>
      <c r="V55" s="11"/>
      <c r="W55" s="11"/>
      <c r="X55" s="11"/>
      <c r="Y55" s="11"/>
      <c r="Z55" s="11"/>
      <c r="AA55" s="11"/>
      <c r="AB55" s="11"/>
      <c r="AC55" s="11"/>
      <c r="AD55" s="11"/>
      <c r="AE55" s="11"/>
      <c r="AF55" s="11"/>
      <c r="AG55" s="11"/>
      <c r="AH55" s="11"/>
      <c r="AI55" s="11"/>
      <c r="AJ55" s="11"/>
      <c r="AK55" s="11"/>
      <c r="AL55" s="11"/>
      <c r="AM55" s="11"/>
      <c r="AN55" s="11"/>
      <c r="AO55" s="11"/>
      <c r="AP55" s="11"/>
      <c r="AQ55" s="11"/>
      <c r="AR55" s="11"/>
      <c r="AS55" s="11"/>
      <c r="AT55" s="11"/>
      <c r="AU55" s="11"/>
    </row>
    <row r="56" spans="1:47" x14ac:dyDescent="0.25">
      <c r="A56" s="43"/>
      <c r="B56" s="43"/>
      <c r="C56" s="43"/>
      <c r="D56" s="43"/>
      <c r="E56" s="43"/>
      <c r="F56" s="43"/>
      <c r="G56" s="43"/>
      <c r="H56" s="43"/>
      <c r="I56" s="43"/>
    </row>
    <row r="57" spans="1:47" x14ac:dyDescent="0.25">
      <c r="A57" s="43"/>
      <c r="B57" s="43"/>
      <c r="C57" s="43"/>
      <c r="D57" s="43"/>
      <c r="E57" s="43"/>
      <c r="F57" s="43"/>
      <c r="G57" s="43"/>
      <c r="H57" s="43"/>
      <c r="I57" s="43"/>
    </row>
    <row r="58" spans="1:47" x14ac:dyDescent="0.25">
      <c r="A58" s="43"/>
      <c r="B58" s="43"/>
      <c r="C58" s="43"/>
      <c r="D58" s="43"/>
      <c r="E58" s="43"/>
      <c r="F58" s="43"/>
      <c r="G58" s="43"/>
      <c r="H58" s="43"/>
      <c r="I58" s="43"/>
    </row>
    <row r="59" spans="1:47" x14ac:dyDescent="0.25">
      <c r="A59" s="43"/>
      <c r="B59" s="43"/>
      <c r="C59" s="43"/>
      <c r="D59" s="43"/>
      <c r="E59" s="43"/>
      <c r="F59" s="43"/>
      <c r="G59" s="43"/>
      <c r="H59" s="43"/>
      <c r="I59" s="43"/>
    </row>
    <row r="60" spans="1:47" x14ac:dyDescent="0.25">
      <c r="A60" s="43"/>
      <c r="B60" s="43"/>
      <c r="C60" s="43"/>
      <c r="D60" s="43"/>
      <c r="E60" s="43"/>
      <c r="F60" s="43"/>
      <c r="G60" s="43"/>
      <c r="H60" s="43"/>
      <c r="I60" s="43"/>
    </row>
    <row r="61" spans="1:47" x14ac:dyDescent="0.25">
      <c r="A61" s="43"/>
      <c r="B61" s="43"/>
      <c r="C61" s="43"/>
      <c r="D61" s="43"/>
      <c r="E61" s="43"/>
      <c r="F61" s="43"/>
      <c r="G61" s="43"/>
      <c r="H61" s="43"/>
      <c r="I61" s="43"/>
    </row>
  </sheetData>
  <mergeCells count="180">
    <mergeCell ref="A2:H2"/>
    <mergeCell ref="A4:D4"/>
    <mergeCell ref="F4:H4"/>
    <mergeCell ref="A5:C5"/>
    <mergeCell ref="A6:C6"/>
    <mergeCell ref="F6:G6"/>
    <mergeCell ref="A11:C11"/>
    <mergeCell ref="A12:C12"/>
    <mergeCell ref="A13:C13"/>
    <mergeCell ref="A14:C14"/>
    <mergeCell ref="F14:G14"/>
    <mergeCell ref="A16:C16"/>
    <mergeCell ref="A8:D8"/>
    <mergeCell ref="F8:H8"/>
    <mergeCell ref="A9:C9"/>
    <mergeCell ref="F9:G9"/>
    <mergeCell ref="A10:C10"/>
    <mergeCell ref="F10:G10"/>
    <mergeCell ref="S2:Z2"/>
    <mergeCell ref="S4:V4"/>
    <mergeCell ref="X4:Z4"/>
    <mergeCell ref="S5:U5"/>
    <mergeCell ref="S6:U6"/>
    <mergeCell ref="X6:Y6"/>
    <mergeCell ref="J11:L11"/>
    <mergeCell ref="J12:L12"/>
    <mergeCell ref="J13:L13"/>
    <mergeCell ref="J8:M8"/>
    <mergeCell ref="O8:Q8"/>
    <mergeCell ref="J9:L9"/>
    <mergeCell ref="O9:P9"/>
    <mergeCell ref="J10:L10"/>
    <mergeCell ref="O10:P10"/>
    <mergeCell ref="J2:Q2"/>
    <mergeCell ref="J4:M4"/>
    <mergeCell ref="O4:Q4"/>
    <mergeCell ref="J5:L5"/>
    <mergeCell ref="J6:L6"/>
    <mergeCell ref="O6:P6"/>
    <mergeCell ref="S11:U11"/>
    <mergeCell ref="S12:U12"/>
    <mergeCell ref="S13:U13"/>
    <mergeCell ref="S14:U14"/>
    <mergeCell ref="X14:Y14"/>
    <mergeCell ref="S16:U16"/>
    <mergeCell ref="S8:V8"/>
    <mergeCell ref="X8:Z8"/>
    <mergeCell ref="S9:U9"/>
    <mergeCell ref="X9:Y9"/>
    <mergeCell ref="S10:U10"/>
    <mergeCell ref="X10:Y10"/>
    <mergeCell ref="AP14:AQ14"/>
    <mergeCell ref="AK16:AM16"/>
    <mergeCell ref="AK10:AM10"/>
    <mergeCell ref="AP10:AQ10"/>
    <mergeCell ref="AK11:AM11"/>
    <mergeCell ref="AK9:AM9"/>
    <mergeCell ref="AP9:AQ9"/>
    <mergeCell ref="AK6:AM6"/>
    <mergeCell ref="AB12:AD12"/>
    <mergeCell ref="AB13:AD13"/>
    <mergeCell ref="AB14:AD14"/>
    <mergeCell ref="AG14:AH14"/>
    <mergeCell ref="AB16:AD16"/>
    <mergeCell ref="AB10:AD10"/>
    <mergeCell ref="AG10:AH10"/>
    <mergeCell ref="AB11:AD11"/>
    <mergeCell ref="AB9:AD9"/>
    <mergeCell ref="AG9:AH9"/>
    <mergeCell ref="AB6:AD6"/>
    <mergeCell ref="A36:C36"/>
    <mergeCell ref="A32:C32"/>
    <mergeCell ref="A33:C33"/>
    <mergeCell ref="A29:C29"/>
    <mergeCell ref="F29:G29"/>
    <mergeCell ref="A28:D28"/>
    <mergeCell ref="F28:H28"/>
    <mergeCell ref="AK12:AM12"/>
    <mergeCell ref="AK13:AM13"/>
    <mergeCell ref="AK14:AM14"/>
    <mergeCell ref="J14:L14"/>
    <mergeCell ref="O14:P14"/>
    <mergeCell ref="J16:L16"/>
    <mergeCell ref="J29:L29"/>
    <mergeCell ref="O29:P29"/>
    <mergeCell ref="A30:C30"/>
    <mergeCell ref="F30:G30"/>
    <mergeCell ref="A31:C31"/>
    <mergeCell ref="F34:G34"/>
    <mergeCell ref="J25:L25"/>
    <mergeCell ref="A22:H22"/>
    <mergeCell ref="A24:D24"/>
    <mergeCell ref="F24:H24"/>
    <mergeCell ref="A25:C25"/>
    <mergeCell ref="A26:C26"/>
    <mergeCell ref="F26:G26"/>
    <mergeCell ref="A34:C34"/>
    <mergeCell ref="J36:L36"/>
    <mergeCell ref="S22:Z22"/>
    <mergeCell ref="S24:V24"/>
    <mergeCell ref="X24:Z24"/>
    <mergeCell ref="S25:U25"/>
    <mergeCell ref="S26:U26"/>
    <mergeCell ref="X26:Y26"/>
    <mergeCell ref="S28:V28"/>
    <mergeCell ref="X28:Z28"/>
    <mergeCell ref="S29:U29"/>
    <mergeCell ref="J22:Q22"/>
    <mergeCell ref="J24:M24"/>
    <mergeCell ref="O24:Q24"/>
    <mergeCell ref="J26:L26"/>
    <mergeCell ref="O26:P26"/>
    <mergeCell ref="J28:M28"/>
    <mergeCell ref="O28:Q28"/>
    <mergeCell ref="J30:L30"/>
    <mergeCell ref="J31:L31"/>
    <mergeCell ref="J32:L32"/>
    <mergeCell ref="J33:L33"/>
    <mergeCell ref="O30:P30"/>
    <mergeCell ref="J34:L34"/>
    <mergeCell ref="O34:P34"/>
    <mergeCell ref="S34:U34"/>
    <mergeCell ref="X34:Y34"/>
    <mergeCell ref="S36:U36"/>
    <mergeCell ref="AB22:AI22"/>
    <mergeCell ref="AB24:AE24"/>
    <mergeCell ref="AG24:AI24"/>
    <mergeCell ref="AB25:AD25"/>
    <mergeCell ref="AB26:AD26"/>
    <mergeCell ref="AG26:AH26"/>
    <mergeCell ref="AB28:AE28"/>
    <mergeCell ref="X29:Y29"/>
    <mergeCell ref="S30:U30"/>
    <mergeCell ref="X30:Y30"/>
    <mergeCell ref="S31:U31"/>
    <mergeCell ref="S32:U32"/>
    <mergeCell ref="S33:U33"/>
    <mergeCell ref="AB32:AD32"/>
    <mergeCell ref="AB33:AD33"/>
    <mergeCell ref="AB34:AD34"/>
    <mergeCell ref="AG34:AH34"/>
    <mergeCell ref="AB36:AD36"/>
    <mergeCell ref="AK22:AR22"/>
    <mergeCell ref="AK24:AN24"/>
    <mergeCell ref="AP24:AR24"/>
    <mergeCell ref="AK25:AM25"/>
    <mergeCell ref="AK26:AM26"/>
    <mergeCell ref="AG28:AI28"/>
    <mergeCell ref="AB29:AD29"/>
    <mergeCell ref="AG29:AH29"/>
    <mergeCell ref="AB30:AD30"/>
    <mergeCell ref="AG30:AH30"/>
    <mergeCell ref="AB31:AD31"/>
    <mergeCell ref="AK31:AM31"/>
    <mergeCell ref="AK32:AM32"/>
    <mergeCell ref="AK33:AM33"/>
    <mergeCell ref="AK34:AM34"/>
    <mergeCell ref="AP34:AQ34"/>
    <mergeCell ref="AK36:AM36"/>
    <mergeCell ref="AP26:AQ26"/>
    <mergeCell ref="AK28:AN28"/>
    <mergeCell ref="AP28:AR28"/>
    <mergeCell ref="AK29:AM29"/>
    <mergeCell ref="AP29:AQ29"/>
    <mergeCell ref="AK30:AM30"/>
    <mergeCell ref="AP30:AQ30"/>
    <mergeCell ref="AK2:AR2"/>
    <mergeCell ref="AK4:AN4"/>
    <mergeCell ref="AP4:AR4"/>
    <mergeCell ref="AK5:AM5"/>
    <mergeCell ref="AP6:AQ6"/>
    <mergeCell ref="AK8:AN8"/>
    <mergeCell ref="AP8:AR8"/>
    <mergeCell ref="AB2:AI2"/>
    <mergeCell ref="AB4:AE4"/>
    <mergeCell ref="AG4:AI4"/>
    <mergeCell ref="AB5:AD5"/>
    <mergeCell ref="AG6:AH6"/>
    <mergeCell ref="AB8:AE8"/>
    <mergeCell ref="AG8:AI8"/>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5" r:id="rId3" name="Button 1">
              <controlPr defaultSize="0" print="0" autoFill="0" autoPict="0" macro="[0]!INGRESO_D">
                <anchor moveWithCells="1" sizeWithCells="1">
                  <from>
                    <xdr:col>3</xdr:col>
                    <xdr:colOff>1685925</xdr:colOff>
                    <xdr:row>0</xdr:row>
                    <xdr:rowOff>104775</xdr:rowOff>
                  </from>
                  <to>
                    <xdr:col>5</xdr:col>
                    <xdr:colOff>676275</xdr:colOff>
                    <xdr:row>0</xdr:row>
                    <xdr:rowOff>504825</xdr:rowOff>
                  </to>
                </anchor>
              </controlPr>
            </control>
          </mc:Choice>
        </mc:AlternateContent>
        <mc:AlternateContent xmlns:mc="http://schemas.openxmlformats.org/markup-compatibility/2006">
          <mc:Choice Requires="x14">
            <control shapeId="11266" r:id="rId4" name="Button 2">
              <controlPr defaultSize="0" print="0" autoFill="0" autoPict="0" macro="[0]!ESTADO_RE">
                <anchor moveWithCells="1" sizeWithCells="1">
                  <from>
                    <xdr:col>11</xdr:col>
                    <xdr:colOff>190500</xdr:colOff>
                    <xdr:row>0</xdr:row>
                    <xdr:rowOff>57150</xdr:rowOff>
                  </from>
                  <to>
                    <xdr:col>12</xdr:col>
                    <xdr:colOff>409575</xdr:colOff>
                    <xdr:row>0</xdr:row>
                    <xdr:rowOff>438150</xdr:rowOff>
                  </to>
                </anchor>
              </controlPr>
            </control>
          </mc:Choice>
        </mc:AlternateContent>
        <mc:AlternateContent xmlns:mc="http://schemas.openxmlformats.org/markup-compatibility/2006">
          <mc:Choice Requires="x14">
            <control shapeId="11267" r:id="rId5" name="Button 3">
              <controlPr defaultSize="0" print="0" autoFill="0" autoPict="0" macro="[0]!COSTO_PRO">
                <anchor moveWithCells="1" sizeWithCells="1">
                  <from>
                    <xdr:col>6</xdr:col>
                    <xdr:colOff>66675</xdr:colOff>
                    <xdr:row>0</xdr:row>
                    <xdr:rowOff>104775</xdr:rowOff>
                  </from>
                  <to>
                    <xdr:col>7</xdr:col>
                    <xdr:colOff>781050</xdr:colOff>
                    <xdr:row>0</xdr:row>
                    <xdr:rowOff>495300</xdr:rowOff>
                  </to>
                </anchor>
              </controlPr>
            </control>
          </mc:Choice>
        </mc:AlternateContent>
        <mc:AlternateContent xmlns:mc="http://schemas.openxmlformats.org/markup-compatibility/2006">
          <mc:Choice Requires="x14">
            <control shapeId="11268" r:id="rId6" name="Button 4">
              <controlPr defaultSize="0" print="0" autoFill="0" autoPict="0" macro="[0]!DEPRE">
                <anchor moveWithCells="1" sizeWithCells="1">
                  <from>
                    <xdr:col>7</xdr:col>
                    <xdr:colOff>1028700</xdr:colOff>
                    <xdr:row>0</xdr:row>
                    <xdr:rowOff>95250</xdr:rowOff>
                  </from>
                  <to>
                    <xdr:col>8</xdr:col>
                    <xdr:colOff>447675</xdr:colOff>
                    <xdr:row>0</xdr:row>
                    <xdr:rowOff>476250</xdr:rowOff>
                  </to>
                </anchor>
              </controlPr>
            </control>
          </mc:Choice>
        </mc:AlternateContent>
        <mc:AlternateContent xmlns:mc="http://schemas.openxmlformats.org/markup-compatibility/2006">
          <mc:Choice Requires="x14">
            <control shapeId="11269" r:id="rId7" name="Button 5">
              <controlPr defaultSize="0" print="0" autoFill="0" autoPict="0" macro="[0]!GASTOS">
                <anchor moveWithCells="1" sizeWithCells="1">
                  <from>
                    <xdr:col>8</xdr:col>
                    <xdr:colOff>657225</xdr:colOff>
                    <xdr:row>0</xdr:row>
                    <xdr:rowOff>85725</xdr:rowOff>
                  </from>
                  <to>
                    <xdr:col>11</xdr:col>
                    <xdr:colOff>0</xdr:colOff>
                    <xdr:row>0</xdr:row>
                    <xdr:rowOff>447675</xdr:rowOff>
                  </to>
                </anchor>
              </controlPr>
            </control>
          </mc:Choice>
        </mc:AlternateContent>
        <mc:AlternateContent xmlns:mc="http://schemas.openxmlformats.org/markup-compatibility/2006">
          <mc:Choice Requires="x14">
            <control shapeId="11270" r:id="rId8" name="Button 6">
              <controlPr defaultSize="0" print="0" autoFill="0" autoPict="0" macro="[0]!FLUJOS">
                <anchor moveWithCells="1" sizeWithCells="1">
                  <from>
                    <xdr:col>12</xdr:col>
                    <xdr:colOff>628650</xdr:colOff>
                    <xdr:row>0</xdr:row>
                    <xdr:rowOff>85725</xdr:rowOff>
                  </from>
                  <to>
                    <xdr:col>12</xdr:col>
                    <xdr:colOff>1371600</xdr:colOff>
                    <xdr:row>0</xdr:row>
                    <xdr:rowOff>447675</xdr:rowOff>
                  </to>
                </anchor>
              </controlPr>
            </control>
          </mc:Choice>
        </mc:AlternateContent>
        <mc:AlternateContent xmlns:mc="http://schemas.openxmlformats.org/markup-compatibility/2006">
          <mc:Choice Requires="x14">
            <control shapeId="11271" r:id="rId9" name="Button 7">
              <controlPr defaultSize="0" print="0" autoFill="0" autoPict="0" macro="[0]!METODOS">
                <anchor moveWithCells="1" sizeWithCells="1">
                  <from>
                    <xdr:col>12</xdr:col>
                    <xdr:colOff>1657350</xdr:colOff>
                    <xdr:row>0</xdr:row>
                    <xdr:rowOff>85725</xdr:rowOff>
                  </from>
                  <to>
                    <xdr:col>14</xdr:col>
                    <xdr:colOff>581025</xdr:colOff>
                    <xdr:row>0</xdr:row>
                    <xdr:rowOff>447675</xdr:rowOff>
                  </to>
                </anchor>
              </controlPr>
            </control>
          </mc:Choice>
        </mc:AlternateContent>
        <mc:AlternateContent xmlns:mc="http://schemas.openxmlformats.org/markup-compatibility/2006">
          <mc:Choice Requires="x14">
            <control shapeId="11272" r:id="rId10" name="Button 8">
              <controlPr defaultSize="0" print="0" autoFill="0" autoPict="0" macro="[0]!PORTADA">
                <anchor moveWithCells="1" sizeWithCells="1">
                  <from>
                    <xdr:col>0</xdr:col>
                    <xdr:colOff>95250</xdr:colOff>
                    <xdr:row>0</xdr:row>
                    <xdr:rowOff>114300</xdr:rowOff>
                  </from>
                  <to>
                    <xdr:col>2</xdr:col>
                    <xdr:colOff>238125</xdr:colOff>
                    <xdr:row>0</xdr:row>
                    <xdr:rowOff>495300</xdr:rowOff>
                  </to>
                </anchor>
              </controlPr>
            </control>
          </mc:Choice>
        </mc:AlternateContent>
        <mc:AlternateContent xmlns:mc="http://schemas.openxmlformats.org/markup-compatibility/2006">
          <mc:Choice Requires="x14">
            <control shapeId="11273" r:id="rId11" name="Button 9">
              <controlPr defaultSize="0" print="0" autoFill="0" autoPict="0" macro="[0]!Informe">
                <anchor moveWithCells="1" sizeWithCells="1">
                  <from>
                    <xdr:col>15</xdr:col>
                    <xdr:colOff>76200</xdr:colOff>
                    <xdr:row>0</xdr:row>
                    <xdr:rowOff>95250</xdr:rowOff>
                  </from>
                  <to>
                    <xdr:col>16</xdr:col>
                    <xdr:colOff>180975</xdr:colOff>
                    <xdr:row>0</xdr:row>
                    <xdr:rowOff>466725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dimension ref="B1:O14"/>
  <sheetViews>
    <sheetView showGridLines="0" zoomScale="87" zoomScaleNormal="87" workbookViewId="0">
      <selection activeCell="B7" sqref="B7"/>
    </sheetView>
  </sheetViews>
  <sheetFormatPr baseColWidth="10" defaultRowHeight="15" x14ac:dyDescent="0.25"/>
  <cols>
    <col min="1" max="4" width="11.42578125" style="1"/>
    <col min="5" max="5" width="11.42578125" style="1" customWidth="1"/>
    <col min="6" max="6" width="10" style="1" customWidth="1"/>
    <col min="7" max="7" width="25" style="1" customWidth="1"/>
    <col min="8" max="8" width="13.140625" style="1" customWidth="1"/>
    <col min="9" max="9" width="13.85546875" style="1" customWidth="1"/>
    <col min="10" max="10" width="16.85546875" style="1" customWidth="1"/>
    <col min="11" max="11" width="12.85546875" style="1" customWidth="1"/>
    <col min="12" max="13" width="11.42578125" style="1"/>
    <col min="14" max="14" width="16.28515625" style="1" customWidth="1"/>
    <col min="15" max="15" width="13.7109375" style="1" customWidth="1"/>
    <col min="16" max="16384" width="11.42578125" style="1"/>
  </cols>
  <sheetData>
    <row r="1" spans="2:15" s="2" customFormat="1" ht="47.25" customHeight="1" thickBot="1" x14ac:dyDescent="0.3"/>
    <row r="2" spans="2:15" ht="15.75" thickTop="1" x14ac:dyDescent="0.25"/>
    <row r="3" spans="2:15" ht="56.25" thickBot="1" x14ac:dyDescent="1">
      <c r="B3" s="309" t="s">
        <v>115</v>
      </c>
      <c r="C3" s="309"/>
      <c r="D3" s="309"/>
      <c r="E3" s="309"/>
      <c r="F3" s="309"/>
      <c r="G3" s="309"/>
      <c r="H3" s="309"/>
      <c r="I3" s="309"/>
      <c r="J3" s="309"/>
      <c r="K3" s="309"/>
      <c r="L3" s="309"/>
      <c r="M3" s="309"/>
      <c r="N3" s="309"/>
      <c r="O3" s="309"/>
    </row>
    <row r="4" spans="2:15" ht="15.75" thickTop="1" x14ac:dyDescent="0.25"/>
    <row r="6" spans="2:15" ht="15.75" thickBot="1" x14ac:dyDescent="0.3"/>
    <row r="7" spans="2:15" ht="27.75" thickTop="1" thickBot="1" x14ac:dyDescent="0.3">
      <c r="E7" s="324" t="s">
        <v>106</v>
      </c>
      <c r="F7" s="325"/>
      <c r="G7" s="326"/>
      <c r="H7" s="313" t="s">
        <v>107</v>
      </c>
      <c r="I7" s="314"/>
      <c r="J7" s="314"/>
      <c r="K7" s="314"/>
      <c r="L7" s="314"/>
      <c r="M7" s="315"/>
      <c r="N7" s="9" t="s">
        <v>108</v>
      </c>
    </row>
    <row r="8" spans="2:15" ht="19.5" thickTop="1" thickBot="1" x14ac:dyDescent="0.3">
      <c r="E8" s="310" t="s">
        <v>101</v>
      </c>
      <c r="F8" s="311"/>
      <c r="G8" s="312"/>
      <c r="H8" s="6">
        <f>Metodos!C36</f>
        <v>1</v>
      </c>
      <c r="I8" s="3" t="str">
        <f>Metodos!D36</f>
        <v>AÑO</v>
      </c>
      <c r="J8" s="3">
        <f>Metodos!E36</f>
        <v>5</v>
      </c>
      <c r="K8" s="3" t="str">
        <f>Metodos!F36</f>
        <v>MESES</v>
      </c>
      <c r="L8" s="3">
        <f>Metodos!G36</f>
        <v>29</v>
      </c>
      <c r="M8" s="4" t="str">
        <f>Metodos!H36</f>
        <v>DÍAS</v>
      </c>
      <c r="N8" s="5" t="str">
        <f>IF(Metodos!C34&lt;=2,"ACEPTADO","RECHAZADO")</f>
        <v>ACEPTADO</v>
      </c>
    </row>
    <row r="9" spans="2:15" ht="19.5" thickTop="1" thickBot="1" x14ac:dyDescent="0.3">
      <c r="E9" s="310" t="s">
        <v>102</v>
      </c>
      <c r="F9" s="311"/>
      <c r="G9" s="312"/>
      <c r="H9" s="6">
        <f>Metodos!T37</f>
        <v>2</v>
      </c>
      <c r="I9" s="3" t="str">
        <f>Metodos!U37</f>
        <v>AÑOS</v>
      </c>
      <c r="J9" s="3">
        <f>Metodos!V37</f>
        <v>9</v>
      </c>
      <c r="K9" s="3" t="str">
        <f>Metodos!W37</f>
        <v>MESES</v>
      </c>
      <c r="L9" s="3">
        <f>Metodos!X37</f>
        <v>3</v>
      </c>
      <c r="M9" s="4" t="str">
        <f>Metodos!Y37</f>
        <v>DÍAS</v>
      </c>
      <c r="N9" s="5" t="str">
        <f>IF(Metodos!T35 &lt; 2,"ACEPTADO","RECHAZADO")</f>
        <v>RECHAZADO</v>
      </c>
    </row>
    <row r="10" spans="2:15" ht="19.5" thickTop="1" thickBot="1" x14ac:dyDescent="0.3">
      <c r="E10" s="310" t="s">
        <v>103</v>
      </c>
      <c r="F10" s="311"/>
      <c r="G10" s="312"/>
      <c r="H10" s="316">
        <f>Metodos!F53</f>
        <v>0.91753590643079086</v>
      </c>
      <c r="I10" s="317"/>
      <c r="J10" s="317"/>
      <c r="K10" s="317"/>
      <c r="L10" s="317"/>
      <c r="M10" s="317"/>
      <c r="N10" s="7" t="str">
        <f>Metodos!G53</f>
        <v>ACEPTADO</v>
      </c>
    </row>
    <row r="11" spans="2:15" ht="19.5" thickTop="1" thickBot="1" x14ac:dyDescent="0.3">
      <c r="E11" s="310" t="s">
        <v>92</v>
      </c>
      <c r="F11" s="311"/>
      <c r="G11" s="312"/>
      <c r="H11" s="318">
        <f>Metodos!T59</f>
        <v>1.7314563952016657</v>
      </c>
      <c r="I11" s="319"/>
      <c r="J11" s="319"/>
      <c r="K11" s="319"/>
      <c r="L11" s="319"/>
      <c r="M11" s="319"/>
      <c r="N11" s="7" t="str">
        <f>Metodos!U59</f>
        <v>ACEPTADO</v>
      </c>
    </row>
    <row r="12" spans="2:15" ht="19.5" thickTop="1" thickBot="1" x14ac:dyDescent="0.3">
      <c r="E12" s="310" t="s">
        <v>104</v>
      </c>
      <c r="F12" s="311"/>
      <c r="G12" s="312"/>
      <c r="H12" s="320">
        <f>Metodos!C83</f>
        <v>1316621.5113629983</v>
      </c>
      <c r="I12" s="321"/>
      <c r="J12" s="321"/>
      <c r="K12" s="321"/>
      <c r="L12" s="321"/>
      <c r="M12" s="321"/>
      <c r="N12" s="7" t="str">
        <f>Metodos!D83</f>
        <v>ACEPTADO</v>
      </c>
    </row>
    <row r="13" spans="2:15" ht="19.5" thickTop="1" thickBot="1" x14ac:dyDescent="0.3">
      <c r="E13" s="310" t="s">
        <v>105</v>
      </c>
      <c r="F13" s="311"/>
      <c r="G13" s="312"/>
      <c r="H13" s="322">
        <f>Metodos!T88</f>
        <v>0.44102715425537065</v>
      </c>
      <c r="I13" s="323"/>
      <c r="J13" s="323"/>
      <c r="K13" s="323"/>
      <c r="L13" s="323"/>
      <c r="M13" s="323"/>
      <c r="N13" s="8" t="str">
        <f>Metodos!V88</f>
        <v>ACEPTADO</v>
      </c>
    </row>
    <row r="14" spans="2:15" ht="15.75" thickTop="1" x14ac:dyDescent="0.25"/>
  </sheetData>
  <mergeCells count="13">
    <mergeCell ref="B3:O3"/>
    <mergeCell ref="E13:G13"/>
    <mergeCell ref="H7:M7"/>
    <mergeCell ref="H10:M10"/>
    <mergeCell ref="H11:M11"/>
    <mergeCell ref="H12:M12"/>
    <mergeCell ref="H13:M13"/>
    <mergeCell ref="E7:G7"/>
    <mergeCell ref="E8:G8"/>
    <mergeCell ref="E9:G9"/>
    <mergeCell ref="E10:G10"/>
    <mergeCell ref="E11:G11"/>
    <mergeCell ref="E12:G12"/>
  </mergeCells>
  <conditionalFormatting sqref="N8:N13">
    <cfRule type="cellIs" dxfId="2" priority="1" operator="equal">
      <formula>"INDIFERENTE"</formula>
    </cfRule>
    <cfRule type="cellIs" dxfId="1" priority="2" operator="equal">
      <formula>"RECHAZADO"</formula>
    </cfRule>
    <cfRule type="cellIs" dxfId="0" priority="3" operator="equal">
      <formula>"ACEPTADO"</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0" r:id="rId3" name="Button 10">
              <controlPr defaultSize="0" print="0" autoFill="0" autoPict="0" macro="[0]!INGRESO_D">
                <anchor moveWithCells="1" sizeWithCells="1">
                  <from>
                    <xdr:col>4</xdr:col>
                    <xdr:colOff>190500</xdr:colOff>
                    <xdr:row>0</xdr:row>
                    <xdr:rowOff>133350</xdr:rowOff>
                  </from>
                  <to>
                    <xdr:col>6</xdr:col>
                    <xdr:colOff>409575</xdr:colOff>
                    <xdr:row>0</xdr:row>
                    <xdr:rowOff>495300</xdr:rowOff>
                  </to>
                </anchor>
              </controlPr>
            </control>
          </mc:Choice>
        </mc:AlternateContent>
        <mc:AlternateContent xmlns:mc="http://schemas.openxmlformats.org/markup-compatibility/2006">
          <mc:Choice Requires="x14">
            <control shapeId="10251" r:id="rId4" name="Button 11">
              <controlPr defaultSize="0" print="0" autoFill="0" autoPict="0" macro="[0]!ESTADO_RE">
                <anchor moveWithCells="1" sizeWithCells="1">
                  <from>
                    <xdr:col>10</xdr:col>
                    <xdr:colOff>828675</xdr:colOff>
                    <xdr:row>0</xdr:row>
                    <xdr:rowOff>123825</xdr:rowOff>
                  </from>
                  <to>
                    <xdr:col>12</xdr:col>
                    <xdr:colOff>209550</xdr:colOff>
                    <xdr:row>0</xdr:row>
                    <xdr:rowOff>485775</xdr:rowOff>
                  </to>
                </anchor>
              </controlPr>
            </control>
          </mc:Choice>
        </mc:AlternateContent>
        <mc:AlternateContent xmlns:mc="http://schemas.openxmlformats.org/markup-compatibility/2006">
          <mc:Choice Requires="x14">
            <control shapeId="10252" r:id="rId5" name="Button 12">
              <controlPr defaultSize="0" print="0" autoFill="0" autoPict="0" macro="[0]!COSTO_PRO">
                <anchor moveWithCells="1" sizeWithCells="1">
                  <from>
                    <xdr:col>6</xdr:col>
                    <xdr:colOff>666750</xdr:colOff>
                    <xdr:row>0</xdr:row>
                    <xdr:rowOff>104775</xdr:rowOff>
                  </from>
                  <to>
                    <xdr:col>7</xdr:col>
                    <xdr:colOff>266700</xdr:colOff>
                    <xdr:row>0</xdr:row>
                    <xdr:rowOff>561975</xdr:rowOff>
                  </to>
                </anchor>
              </controlPr>
            </control>
          </mc:Choice>
        </mc:AlternateContent>
        <mc:AlternateContent xmlns:mc="http://schemas.openxmlformats.org/markup-compatibility/2006">
          <mc:Choice Requires="x14">
            <control shapeId="10253" r:id="rId6" name="Button 13">
              <controlPr defaultSize="0" print="0" autoFill="0" autoPict="0" macro="[0]!DEPRE">
                <anchor moveWithCells="1" sizeWithCells="1">
                  <from>
                    <xdr:col>7</xdr:col>
                    <xdr:colOff>428625</xdr:colOff>
                    <xdr:row>0</xdr:row>
                    <xdr:rowOff>114300</xdr:rowOff>
                  </from>
                  <to>
                    <xdr:col>8</xdr:col>
                    <xdr:colOff>781050</xdr:colOff>
                    <xdr:row>0</xdr:row>
                    <xdr:rowOff>504825</xdr:rowOff>
                  </to>
                </anchor>
              </controlPr>
            </control>
          </mc:Choice>
        </mc:AlternateContent>
        <mc:AlternateContent xmlns:mc="http://schemas.openxmlformats.org/markup-compatibility/2006">
          <mc:Choice Requires="x14">
            <control shapeId="10254" r:id="rId7" name="Button 14">
              <controlPr defaultSize="0" print="0" autoFill="0" autoPict="0" macro="[0]!GASTOS">
                <anchor moveWithCells="1" sizeWithCells="1">
                  <from>
                    <xdr:col>9</xdr:col>
                    <xdr:colOff>85725</xdr:colOff>
                    <xdr:row>0</xdr:row>
                    <xdr:rowOff>123825</xdr:rowOff>
                  </from>
                  <to>
                    <xdr:col>10</xdr:col>
                    <xdr:colOff>590550</xdr:colOff>
                    <xdr:row>0</xdr:row>
                    <xdr:rowOff>485775</xdr:rowOff>
                  </to>
                </anchor>
              </controlPr>
            </control>
          </mc:Choice>
        </mc:AlternateContent>
        <mc:AlternateContent xmlns:mc="http://schemas.openxmlformats.org/markup-compatibility/2006">
          <mc:Choice Requires="x14">
            <control shapeId="10255" r:id="rId8" name="Button 15">
              <controlPr defaultSize="0" print="0" autoFill="0" autoPict="0" macro="[0]!FLUJOS">
                <anchor moveWithCells="1" sizeWithCells="1">
                  <from>
                    <xdr:col>12</xdr:col>
                    <xdr:colOff>390525</xdr:colOff>
                    <xdr:row>0</xdr:row>
                    <xdr:rowOff>142875</xdr:rowOff>
                  </from>
                  <to>
                    <xdr:col>13</xdr:col>
                    <xdr:colOff>457200</xdr:colOff>
                    <xdr:row>0</xdr:row>
                    <xdr:rowOff>504825</xdr:rowOff>
                  </to>
                </anchor>
              </controlPr>
            </control>
          </mc:Choice>
        </mc:AlternateContent>
        <mc:AlternateContent xmlns:mc="http://schemas.openxmlformats.org/markup-compatibility/2006">
          <mc:Choice Requires="x14">
            <control shapeId="10256" r:id="rId9" name="Button 16">
              <controlPr defaultSize="0" print="0" autoFill="0" autoPict="0" macro="[0]!METODOS">
                <anchor moveWithCells="1" sizeWithCells="1">
                  <from>
                    <xdr:col>13</xdr:col>
                    <xdr:colOff>714375</xdr:colOff>
                    <xdr:row>0</xdr:row>
                    <xdr:rowOff>114300</xdr:rowOff>
                  </from>
                  <to>
                    <xdr:col>16</xdr:col>
                    <xdr:colOff>123825</xdr:colOff>
                    <xdr:row>0</xdr:row>
                    <xdr:rowOff>476250</xdr:rowOff>
                  </to>
                </anchor>
              </controlPr>
            </control>
          </mc:Choice>
        </mc:AlternateContent>
        <mc:AlternateContent xmlns:mc="http://schemas.openxmlformats.org/markup-compatibility/2006">
          <mc:Choice Requires="x14">
            <control shapeId="10257" r:id="rId10" name="Button 17">
              <controlPr defaultSize="0" print="0" autoFill="0" autoPict="0" macro="[0]!PORTADA">
                <anchor moveWithCells="1" sizeWithCells="1">
                  <from>
                    <xdr:col>0</xdr:col>
                    <xdr:colOff>95250</xdr:colOff>
                    <xdr:row>0</xdr:row>
                    <xdr:rowOff>114300</xdr:rowOff>
                  </from>
                  <to>
                    <xdr:col>1</xdr:col>
                    <xdr:colOff>266700</xdr:colOff>
                    <xdr:row>0</xdr:row>
                    <xdr:rowOff>476250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12</vt:i4>
      </vt:variant>
    </vt:vector>
  </HeadingPairs>
  <TitlesOfParts>
    <vt:vector size="12" baseType="lpstr">
      <vt:lpstr>Portada</vt:lpstr>
      <vt:lpstr>MARCO TEORICO</vt:lpstr>
      <vt:lpstr>OBJETIVO</vt:lpstr>
      <vt:lpstr>Datos</vt:lpstr>
      <vt:lpstr>Estado de Resultados</vt:lpstr>
      <vt:lpstr>Costos de Produccion</vt:lpstr>
      <vt:lpstr>Depreciacion</vt:lpstr>
      <vt:lpstr>Gastos A y V</vt:lpstr>
      <vt:lpstr>Flujos</vt:lpstr>
      <vt:lpstr>Metodos</vt:lpstr>
      <vt:lpstr>Balance General</vt:lpstr>
      <vt:lpstr>Resultados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DELL7</dc:creator>
  <cp:lastModifiedBy>Toño Rojas Alvarado</cp:lastModifiedBy>
  <dcterms:created xsi:type="dcterms:W3CDTF">2016-12-06T00:31:29Z</dcterms:created>
  <dcterms:modified xsi:type="dcterms:W3CDTF">2018-12-01T04:40:52Z</dcterms:modified>
</cp:coreProperties>
</file>